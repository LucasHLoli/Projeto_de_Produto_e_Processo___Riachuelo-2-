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 por loja" sheetId="1" state="visible" r:id="rId3"/>
    <sheet name="Itens" sheetId="2" state="visible" r:id="rId4"/>
    <sheet name="Por função" sheetId="3" state="visible" r:id="rId5"/>
    <sheet name="Por parte" sheetId="4" state="visible" r:id="rId6"/>
    <sheet name="Considerados e descartados" sheetId="5" state="visible" r:id="rId7"/>
    <sheet name="Notas" sheetId="6" state="visible" r:id="rId8"/>
  </sheets>
  <definedNames>
    <definedName function="false" hidden="true" localSheetId="1" name="_xlnm._FilterDatabase" vbProcedure="false">Itens!$A$4:$R$31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<sst xmlns="http://schemas.openxmlformats.org/spreadsheetml/2006/main" count="571" uniqueCount="259">
  <si>
    <t xml:space="preserve">Resumo do pedido por loja</t>
  </si>
  <si>
    <t xml:space="preserve">Só entram os itens marcados "Sim" na aba Itens. Frete em azul: valor calculado na loja; em branco: a cotar.</t>
  </si>
  <si>
    <t xml:space="preserve">Loja</t>
  </si>
  <si>
    <t xml:space="preserve">Itens no pedido</t>
  </si>
  <si>
    <t xml:space="preserve">Produtos Pix/boleto</t>
  </si>
  <si>
    <t xml:space="preserve">Produtos cartão</t>
  </si>
  <si>
    <t xml:space="preserve">Frete</t>
  </si>
  <si>
    <t xml:space="preserve">Modalidade</t>
  </si>
  <si>
    <t xml:space="preserve">Prazo</t>
  </si>
  <si>
    <t xml:space="preserve">Total Pix/boleto</t>
  </si>
  <si>
    <t xml:space="preserve">Total cartão</t>
  </si>
  <si>
    <t xml:space="preserve">Como o frete foi obtido</t>
  </si>
  <si>
    <t xml:space="preserve">Usinainfo</t>
  </si>
  <si>
    <t xml:space="preserve">JT Express</t>
  </si>
  <si>
    <t xml:space="preserve">4 a 7 dias úteis</t>
  </si>
  <si>
    <t xml:space="preserve">Carrinho real com CEP 05508-010 em 14/10. Outras opções: PAC R$ 24,65 (6 a 7 dias); SEDEX R$ 51,22 (2 a 3 dias). Com os itens opcionais no pedido, o JT Express vai a R$ 13,27</t>
  </si>
  <si>
    <t xml:space="preserve">Amazon</t>
  </si>
  <si>
    <t xml:space="preserve">Entrega grátis</t>
  </si>
  <si>
    <t xml:space="preserve">15/10 a 04/11</t>
  </si>
  <si>
    <t xml:space="preserve">A página de cada produto mostra entrega grátis. Os itens da Amazon Global chegam de 28/10 a 04/11. Confirmar no carrinho</t>
  </si>
  <si>
    <t xml:space="preserve">Magazine Luiza</t>
  </si>
  <si>
    <t xml:space="preserve">Normal</t>
  </si>
  <si>
    <t xml:space="preserve">1 dia útil</t>
  </si>
  <si>
    <t xml:space="preserve">Estimativa da página para a região de Osasco/SP, sem o CEP exato. Receptor com frete grátis; base de indução R$ 12,90 ou retirada grátis na loja</t>
  </si>
  <si>
    <t xml:space="preserve">3D Fila</t>
  </si>
  <si>
    <t xml:space="preserve">A cotar</t>
  </si>
  <si>
    <t xml:space="preserve">-</t>
  </si>
  <si>
    <t xml:space="preserve">Frete grátis acima de R$ 200 em regiões selecionadas. Não calculado</t>
  </si>
  <si>
    <t xml:space="preserve">Ímã de Neodímio</t>
  </si>
  <si>
    <t xml:space="preserve">Só entra se o ímã de reserva for pedido</t>
  </si>
  <si>
    <t xml:space="preserve">Extra</t>
  </si>
  <si>
    <t xml:space="preserve">Só entra se a equipe não tiver fita dupla face</t>
  </si>
  <si>
    <t xml:space="preserve">Loja do Mecânico</t>
  </si>
  <si>
    <t xml:space="preserve">Só entra se a equipe não tiver borracha</t>
  </si>
  <si>
    <t xml:space="preserve">Mercado Livre</t>
  </si>
  <si>
    <t xml:space="preserve">Só entra se o kit de parafusos não tiver M3 longo</t>
  </si>
  <si>
    <t xml:space="preserve">Total do pedido</t>
  </si>
  <si>
    <t xml:space="preserve">Lojas com frete "a cotar" e com itens no pedido somam ao total quando o frete for preenchido.</t>
  </si>
  <si>
    <t xml:space="preserve">Lista de compras do protótipo Tag&amp;Go, com preço e loja de cada item</t>
  </si>
  <si>
    <t xml:space="preserve">Preços conferidos em 14/10/2026. Frete calculado para o CEP 05508-010 (Poli-USP). Para tirar ou pôr um item no pedido, troque a coluna "Incluir" para Sim ou Não; os totais das outras abas se atualizam.</t>
  </si>
  <si>
    <t xml:space="preserve">Nº</t>
  </si>
  <si>
    <t xml:space="preserve">Item (como pedir na cotação)</t>
  </si>
  <si>
    <t xml:space="preserve">Função</t>
  </si>
  <si>
    <t xml:space="preserve">Parte do produto</t>
  </si>
  <si>
    <t xml:space="preserve">Variante</t>
  </si>
  <si>
    <t xml:space="preserve">Situação</t>
  </si>
  <si>
    <t xml:space="preserve">Incluir</t>
  </si>
  <si>
    <t xml:space="preserve">Qtd.</t>
  </si>
  <si>
    <t xml:space="preserve">Preço unit. Pix/boleto</t>
  </si>
  <si>
    <t xml:space="preserve">Preço unit. cartão</t>
  </si>
  <si>
    <t xml:space="preserve">Subtotal Pix/boleto</t>
  </si>
  <si>
    <t xml:space="preserve">Subtotal cartão</t>
  </si>
  <si>
    <t xml:space="preserve">Vendedor</t>
  </si>
  <si>
    <t xml:space="preserve">Link</t>
  </si>
  <si>
    <t xml:space="preserve">Estoque e prazo</t>
  </si>
  <si>
    <t xml:space="preserve">Origem do preço</t>
  </si>
  <si>
    <t xml:space="preserve">Observação</t>
  </si>
  <si>
    <t xml:space="preserve">Placa ESP32 DevKit V1 30 pinos, USB-C, CP2102</t>
  </si>
  <si>
    <t xml:space="preserve">Controlar e comunicar</t>
  </si>
  <si>
    <t xml:space="preserve">TG-500 Controle e energia</t>
  </si>
  <si>
    <t xml:space="preserve">Comum</t>
  </si>
  <si>
    <t xml:space="preserve">Pedido</t>
  </si>
  <si>
    <t xml:space="preserve">Sim</t>
  </si>
  <si>
    <t xml:space="preserve">https://www.usinainfo.com.br/esp32/esp32-wifi-e-bluetooth-com-usb-c-30-pinos-e-cp2102-9114.html</t>
  </si>
  <si>
    <t xml:space="preserve">Disponível; envio no mesmo dia útil se pago até 14h</t>
  </si>
  <si>
    <t xml:space="preserve">Carrinho, 14/10/2026</t>
  </si>
  <si>
    <t xml:space="preserve">Computador da caixa, com Wi-Fi</t>
  </si>
  <si>
    <t xml:space="preserve">Expansor para ESP32 DevKit V1 30 pinos (USB-C e micro USB)</t>
  </si>
  <si>
    <t xml:space="preserve">https://www.usinainfo.com.br/expansores-shields/expansor-para-esp32-devkit-v1-30-pinos-usb-c-e-micro-8795.html</t>
  </si>
  <si>
    <t xml:space="preserve">Disponível</t>
  </si>
  <si>
    <t xml:space="preserve">Liga tudo por encaixe, sem solda</t>
  </si>
  <si>
    <t xml:space="preserve">Micro servo SG90 9 g, 180°</t>
  </si>
  <si>
    <t xml:space="preserve">Liberar</t>
  </si>
  <si>
    <t xml:space="preserve">TG-300 Liberação</t>
  </si>
  <si>
    <t xml:space="preserve">https://www.usinainfo.com.br/servo-motores/micro-servo-motor-9g-sg90-180-16kgfcm-de-posicao-2299.html</t>
  </si>
  <si>
    <t xml:space="preserve">Um em uso e um de reserva</t>
  </si>
  <si>
    <t xml:space="preserve">Módulo chave fim de curso</t>
  </si>
  <si>
    <t xml:space="preserve">https://www.usinainfo.com.br/sensor-de-vibracao/modulo-chave-fim-curso-sensor-de-impacto-para-projetos-4618.html</t>
  </si>
  <si>
    <t xml:space="preserve">Uma sente a garra fechada, outra sente a base de recarga</t>
  </si>
  <si>
    <t xml:space="preserve">Semáforo LED 3,3 V/5 V 8 mm (S3)</t>
  </si>
  <si>
    <t xml:space="preserve">Indicar</t>
  </si>
  <si>
    <t xml:space="preserve">TG-400 Indicação</t>
  </si>
  <si>
    <t xml:space="preserve">https://www.usinainfo.com.br/outros-modulos-arduino/semaforo-led-33v5v-8mm-s3-5466.html</t>
  </si>
  <si>
    <t xml:space="preserve">Vermelho preso, amarelo em recarga, verde liberado</t>
  </si>
  <si>
    <t xml:space="preserve">Ímã de neodímio N50 10 × 4 mm, kit com 10</t>
  </si>
  <si>
    <t xml:space="preserve">Variante A</t>
  </si>
  <si>
    <t xml:space="preserve">https://www.usinainfo.com.br/imas-de-neodimio-e-acessorios-magneticos/ima-de-neodimio-n50-super-forte-10mm-x-4mm-kit-com-10-unidades-5012.html</t>
  </si>
  <si>
    <t xml:space="preserve">Três vão no braço. Os outros servem para o teste de bancada</t>
  </si>
  <si>
    <t xml:space="preserve">Jumper fêmea-fêmea 20 cm, kit com 20</t>
  </si>
  <si>
    <t xml:space="preserve">https://www.usinainfo.com.br/jumper/jumper-premium-para-protoboard-femea-femea-20cm-kit-c-20-pecas-2612.html</t>
  </si>
  <si>
    <t xml:space="preserve">São usados 10. Comprado na Usinainfo para juntar o frete</t>
  </si>
  <si>
    <t xml:space="preserve">Jumper macho-fêmea 20 cm, kit com 20</t>
  </si>
  <si>
    <t xml:space="preserve">https://www.usinainfo.com.br/jumper/jumper-premium-para-protoboard-macho-femea-20cm-kit-c-20-pecas-2314.html</t>
  </si>
  <si>
    <t xml:space="preserve">Três ligam o plugue do servo</t>
  </si>
  <si>
    <t xml:space="preserve">Capacitor eletrolítico 1000 µF 16 V</t>
  </si>
  <si>
    <t xml:space="preserve">Energia e recarga</t>
  </si>
  <si>
    <t xml:space="preserve">https://www.usinainfo.com.br/capacitor-eletrolitico/capacitor-eletrolitico-1000uf-16v-3052.html</t>
  </si>
  <si>
    <t xml:space="preserve">Evita que o ESP32 reinicie quando o servo parte</t>
  </si>
  <si>
    <t xml:space="preserve">Etiqueta rígida antifurto com pino, pacote com 20</t>
  </si>
  <si>
    <t xml:space="preserve">Reter</t>
  </si>
  <si>
    <t xml:space="preserve">TG-200 Retenção</t>
  </si>
  <si>
    <t xml:space="preserve">Amazon Global (importado)</t>
  </si>
  <si>
    <t xml:space="preserve">https://www.amazon.com.br/dp/B0GP6ZF16R</t>
  </si>
  <si>
    <t xml:space="preserve">Somente 1 em estoque; entrega 28/10 a 04/11</t>
  </si>
  <si>
    <t xml:space="preserve">Página do produto, 14/10/2026</t>
  </si>
  <si>
    <t xml:space="preserve">Doadora da embreagem e do pino. Conferir que é magnética comum, não superlock</t>
  </si>
  <si>
    <t xml:space="preserve">Power bank Basike 10.000 mAh 22,5 W, com visor e cabos embutidos</t>
  </si>
  <si>
    <t xml:space="preserve">ALL.MIX</t>
  </si>
  <si>
    <t xml:space="preserve">https://www.amazon.com.br/dp/B0DHVLRFGD</t>
  </si>
  <si>
    <t xml:space="preserve">Em estoque; entrega grátis</t>
  </si>
  <si>
    <t xml:space="preserve">Testar antes se carrega e alimenta ao mesmo tempo</t>
  </si>
  <si>
    <t xml:space="preserve">Kit de parafusos inox M2 a M5 com porcas e arruelas, 120 peças</t>
  </si>
  <si>
    <t xml:space="preserve">Estrutura e montagem</t>
  </si>
  <si>
    <t xml:space="preserve">TG-100 Estrutura e fechamento</t>
  </si>
  <si>
    <t xml:space="preserve">https://www.amazon.com.br/dp/B0GS5M3LC5</t>
  </si>
  <si>
    <t xml:space="preserve">Em estoque; entrega 28/10 a 04/11</t>
  </si>
  <si>
    <t xml:space="preserve">Tampa, módulo da trava e braço</t>
  </si>
  <si>
    <t xml:space="preserve">Receptor de carga sem fio Qi universal, USB-C</t>
  </si>
  <si>
    <t xml:space="preserve">Brasil Home</t>
  </si>
  <si>
    <t xml:space="preserve">https://www.magazineluiza.com.br/adaptador-sem-fio-wireless-qi-inducao-receptor-universal-tipo-c-brasil-home/p/gkj66889f8/in/usba/</t>
  </si>
  <si>
    <t xml:space="preserve">Disponível; frete grátis; entrega no dia seguinte</t>
  </si>
  <si>
    <t xml:space="preserve">Colado no fundo da caixa</t>
  </si>
  <si>
    <t xml:space="preserve">Carregador por indução 15 W Lelong LE-520, com cabo USB-C</t>
  </si>
  <si>
    <t xml:space="preserve">Base de recarga (fora do dispositivo)</t>
  </si>
  <si>
    <t xml:space="preserve">Loja Presentes e Eletrônicos</t>
  </si>
  <si>
    <t xml:space="preserve">https://www.magazineluiza.com.br/carregador-por-inducao-15w-sem-fio-usb-acompanha-cabo-usb-c-le520-lelong/p/ke9dh49dk3/te/accp/</t>
  </si>
  <si>
    <t xml:space="preserve">Disponível; entrega no dia seguinte</t>
  </si>
  <si>
    <t xml:space="preserve">Vendedor diferente do receptor: entrega separada</t>
  </si>
  <si>
    <t xml:space="preserve">Filamento PLA preto 1,75 mm, 1 kg</t>
  </si>
  <si>
    <t xml:space="preserve">Peças impressas (TG-100, TG-200, TG-300)</t>
  </si>
  <si>
    <t xml:space="preserve">https://3dfila.com.br/produto/filamento-pla-preto/</t>
  </si>
  <si>
    <t xml:space="preserve">Em estoque</t>
  </si>
  <si>
    <t xml:space="preserve">Página do produto (pesquisa), 14/10/2026</t>
  </si>
  <si>
    <t xml:space="preserve">Dispensável se a impressora do laboratório já tiver filamento</t>
  </si>
  <si>
    <t xml:space="preserve">Etiqueta NFC NTAG215 regravável, kit com 10</t>
  </si>
  <si>
    <t xml:space="preserve">Identificar</t>
  </si>
  <si>
    <t xml:space="preserve">Identificação (a decidir)</t>
  </si>
  <si>
    <t xml:space="preserve">Opcional</t>
  </si>
  <si>
    <t xml:space="preserve">Não</t>
  </si>
  <si>
    <t xml:space="preserve">Sté Acessórios</t>
  </si>
  <si>
    <t xml:space="preserve">https://www.amazon.com.br/dp/B0CKTK9HSJ</t>
  </si>
  <si>
    <t xml:space="preserve">Em estoque; entrega grátis no dia seguinte</t>
  </si>
  <si>
    <t xml:space="preserve">Encostar o celular abre a página de compra. Trocar para Sim se a equipe adotar</t>
  </si>
  <si>
    <t xml:space="preserve">Kit de molas de compressão e extensão, 200 peças</t>
  </si>
  <si>
    <t xml:space="preserve">Variante B</t>
  </si>
  <si>
    <t xml:space="preserve">https://www.usinainfo.com.br/robotica-educacional/kit-de-molas-para-robotica-200-pecas-mola-de-compressao-e-extensao-para-projetos-diy-5160.html</t>
  </si>
  <si>
    <t xml:space="preserve">Carrinho, 14/10/2026 (cartão calculado: Pix + 5%)</t>
  </si>
  <si>
    <t xml:space="preserve">Mola que empurra a lingueta. Se a trava for por mola, trocar para Sim e passar etiquetas e ímãs para Não</t>
  </si>
  <si>
    <t xml:space="preserve">Micro servo MG90S 9 g, engrenagens metálicas</t>
  </si>
  <si>
    <t xml:space="preserve">Reserva</t>
  </si>
  <si>
    <t xml:space="preserve">https://www.usinainfo.com.br/servo-motores/micro-servo-9g-tower-pro-mg90s-180-22kgfcm-de-posicao-com-engrenagens-metalicas-3628.html</t>
  </si>
  <si>
    <t xml:space="preserve">Pesquisa, 14/10/2026</t>
  </si>
  <si>
    <t xml:space="preserve">Só se o SG90 não conseguir arrastar os ímãs. Mesmo tamanho</t>
  </si>
  <si>
    <t xml:space="preserve">Ímã de neodímio N42 disco 20 × 10 mm</t>
  </si>
  <si>
    <t xml:space="preserve">imadeneodimio.com</t>
  </si>
  <si>
    <t xml:space="preserve">https://www.imadeneodimio.com/ima-de-neodimio-disco-20mm-x-10mm-n42</t>
  </si>
  <si>
    <t xml:space="preserve">Pronta entrega</t>
  </si>
  <si>
    <t xml:space="preserve">Só se a pilha de três ímãs pequenos não abrir a embreagem</t>
  </si>
  <si>
    <t xml:space="preserve">Fechadura elétrica solenoide FEC-91 12 V NF</t>
  </si>
  <si>
    <t xml:space="preserve">Alternativa</t>
  </si>
  <si>
    <t xml:space="preserve">https://www.usinainfo.com.br/mini-fechadura-eletrica-solenoide/fechadura-eletrica-solenoide-12v-nf-compacta-fec-91-lingueta-superior-8073.html</t>
  </si>
  <si>
    <t xml:space="preserve">Trava pronta. Exige o relé e o elevador de tensão abaixo</t>
  </si>
  <si>
    <t xml:space="preserve">Módulo relé 3,3 V 10 A, 1 canal, com optoacoplador</t>
  </si>
  <si>
    <t xml:space="preserve">https://www.usinainfo.com.br/rele-arduino/modulo-rele-3v-10a-1-canal-com-optoacoplador-para-esp32-5997.html</t>
  </si>
  <si>
    <t xml:space="preserve">Só com a fechadura solenoide</t>
  </si>
  <si>
    <t xml:space="preserve">Regulador step-up MT3608 (2,5 V a 28 V, 2 A)</t>
  </si>
  <si>
    <t xml:space="preserve">https://www.usinainfo.com.br/regulador-de-tensao/regulador-de-tensao-ajustavel-mt3608-step-up-saida-25v-a-28vdc-2a-4489.html</t>
  </si>
  <si>
    <t xml:space="preserve">Só com a fechadura solenoide: eleva 5 V para 12 V</t>
  </si>
  <si>
    <t xml:space="preserve">Fita dupla face de espuma 3M VHB transparente, 19 mm × 5 m</t>
  </si>
  <si>
    <t xml:space="preserve">Se não tiver</t>
  </si>
  <si>
    <t xml:space="preserve">https://www.extra.com.br/p/1569921696</t>
  </si>
  <si>
    <t xml:space="preserve">Não conferido</t>
  </si>
  <si>
    <t xml:space="preserve">Trecho de busca, conferir</t>
  </si>
  <si>
    <t xml:space="preserve">Prende receptor, power bank, expansor e chaves</t>
  </si>
  <si>
    <t xml:space="preserve">Cola instantânea em gel (Super Bonder Power Flex Gel 2 g)</t>
  </si>
  <si>
    <t xml:space="preserve">https://www.google.com/search?tbm=shop&amp;q=Super+Bonder+Power+Flex+Gel+2g</t>
  </si>
  <si>
    <t xml:space="preserve">Link de busca: o anúncio exato não foi aberto</t>
  </si>
  <si>
    <t xml:space="preserve">Fita antiderrapante preta 25 mm × 5 m (Tesa)</t>
  </si>
  <si>
    <t xml:space="preserve">Prender na roupa</t>
  </si>
  <si>
    <t xml:space="preserve">https://www.google.com/search?tbm=shop&amp;q=fita+antiderrapante+tesa+25mm+5m</t>
  </si>
  <si>
    <t xml:space="preserve">Borracha dos dentes da garra. Câmara de ar de bicicleta também serve</t>
  </si>
  <si>
    <t xml:space="preserve">Papel adesivo A4 fosco 108 g, 20 folhas</t>
  </si>
  <si>
    <t xml:space="preserve">TG-100 Estrutura e fechamento (código 2D)</t>
  </si>
  <si>
    <t xml:space="preserve">https://www.google.com/search?tbm=shop&amp;q=papel+adesivo+A4+fosco+Masterprint</t>
  </si>
  <si>
    <t xml:space="preserve">Para imprimir o QR da caixa</t>
  </si>
  <si>
    <t xml:space="preserve">Parafuso M3 × 40 mm (ou 50 mm) com porca, pacote</t>
  </si>
  <si>
    <t xml:space="preserve">https://lista.mercadolivre.com.br/parafuso-m3-x-40mm</t>
  </si>
  <si>
    <t xml:space="preserve">Preço não encontrado</t>
  </si>
  <si>
    <t xml:space="preserve">Eixo da dobradiça da garra. Conferir se o kit de parafusos já traz</t>
  </si>
  <si>
    <t xml:space="preserve">Total dos itens marcados "Sim"</t>
  </si>
  <si>
    <t xml:space="preserve">Legenda: texto azul = valor digitado (pode mudar). Fundo amarelo = escolha da equipe ou preço que precisa ser conferido.</t>
  </si>
  <si>
    <t xml:space="preserve">Compras agrupadas pela função no produto</t>
  </si>
  <si>
    <t xml:space="preserve">Cada linha puxa da aba Itens. O subtotal de cada grupo soma só os itens marcados "Sim".</t>
  </si>
  <si>
    <t xml:space="preserve">Grupo</t>
  </si>
  <si>
    <t xml:space="preserve">Item</t>
  </si>
  <si>
    <t xml:space="preserve">Subtotal do grupo</t>
  </si>
  <si>
    <t xml:space="preserve">Compras agrupadas pela parte do produto (estrutura do Relatório 3)</t>
  </si>
  <si>
    <t xml:space="preserve">Produtos que a equipe considerou e não vai comprar</t>
  </si>
  <si>
    <t xml:space="preserve">Produto</t>
  </si>
  <si>
    <t xml:space="preserve">Preço Pix</t>
  </si>
  <si>
    <t xml:space="preserve">Por que ficou de fora</t>
  </si>
  <si>
    <t xml:space="preserve">Display TFT 1,3" 240 × 240 ST7789</t>
  </si>
  <si>
    <t xml:space="preserve">Smartkits</t>
  </si>
  <si>
    <t xml:space="preserve">https://www.smartkits.com.br/display-tft-ips-lcd-240x240-1-3-spi-st7789-colorido-rgb</t>
  </si>
  <si>
    <t xml:space="preserve">A tela saiu do projeto: o QR é fixo, colado na tampa</t>
  </si>
  <si>
    <t xml:space="preserve">Power bank Ugreen Mini 5.000 mAh, conector USB-C</t>
  </si>
  <si>
    <t xml:space="preserve">KaBuM (Boya Brasil)</t>
  </si>
  <si>
    <t xml:space="preserve">https://www.kabum.com.br/produto/819532</t>
  </si>
  <si>
    <t xml:space="preserve">Encurtaria a caixa, mas custa mais que o dobro do Basike de 10.000 mAh</t>
  </si>
  <si>
    <t xml:space="preserve">Receptor Qi micro USB Comtac 9353</t>
  </si>
  <si>
    <t xml:space="preserve">KaBuM (RAICROM)</t>
  </si>
  <si>
    <t xml:space="preserve">https://www.kabum.com.br/produto/177521</t>
  </si>
  <si>
    <t xml:space="preserve">A entrada do power bank escolhido é USB-C. Na Amazon está indisponível</t>
  </si>
  <si>
    <t xml:space="preserve">Jumpers fêmea-fêmea e macho-fêmea, 40 unidades</t>
  </si>
  <si>
    <t xml:space="preserve">Eletrogate</t>
  </si>
  <si>
    <t xml:space="preserve">https://www.eletrogate.com/jumpers-femea-femea-40-unidades-de-20-cm</t>
  </si>
  <si>
    <t xml:space="preserve">Trocados pelos da Usinainfo para juntar o frete. A Eletrogate não mostrou frete para o CEP 05508-010</t>
  </si>
  <si>
    <t xml:space="preserve">Mini trava solenoide FE-91 12 V</t>
  </si>
  <si>
    <t xml:space="preserve">https://www.eletrogate.com/mini-trava-eletrica-solenoide</t>
  </si>
  <si>
    <t xml:space="preserve">A mesma trava sai mais barata na Usinainfo</t>
  </si>
  <si>
    <t xml:space="preserve">Mini trava solenoide JF-0520B 12 V</t>
  </si>
  <si>
    <t xml:space="preserve">https://www.usinainfo.com.br/mini-fechadura-eletrica-solenoide/mini-solenoide-12v-nf-tipo-tranca-jf-0520b-5246.html</t>
  </si>
  <si>
    <t xml:space="preserve">Mais cara que a FEC-91, mesma função</t>
  </si>
  <si>
    <t xml:space="preserve">Mini solenoide 5 V JF-0530B</t>
  </si>
  <si>
    <t xml:space="preserve">Fermarc</t>
  </si>
  <si>
    <t xml:space="preserve">https://www.fermarc.com/mini-solenoide-5v-jf-0530b</t>
  </si>
  <si>
    <t xml:space="preserve">Puxa 2 A para fazer 5 N: fraco e consome a bateria inteira</t>
  </si>
  <si>
    <t xml:space="preserve">Travas magnéticas avulsas (B07GZH682Y)</t>
  </si>
  <si>
    <t xml:space="preserve">https://www.amazon.com.br/dp/B07GZH682Y</t>
  </si>
  <si>
    <t xml:space="preserve">São fechos de porta de armário, não servem</t>
  </si>
  <si>
    <t xml:space="preserve">Eletroímã 5 V ou 12 V</t>
  </si>
  <si>
    <t xml:space="preserve">Eletrogate / Baú</t>
  </si>
  <si>
    <t xml:space="preserve">https://www.eletrogate.com/eletroima-solenoide-12v-dc-25kg</t>
  </si>
  <si>
    <t xml:space="preserve">Abre quando a bateria acaba e consome energia o tempo todo</t>
  </si>
  <si>
    <t xml:space="preserve">Carregador Lelong LE-520 (outra loja)</t>
  </si>
  <si>
    <t xml:space="preserve">Paraíso dos Eletrônicos</t>
  </si>
  <si>
    <t xml:space="preserve">https://paraisodoseletronicos.com.br/produto/carregador-portatil-wireless-rapido-por-inducao-15w-alta-velocidade-le520/</t>
  </si>
  <si>
    <t xml:space="preserve">Alternativa ao Magalu, R$ 3,75 mais barata. Frete não conferido</t>
  </si>
  <si>
    <t xml:space="preserve">Premissas e observações</t>
  </si>
  <si>
    <t xml:space="preserve">Data dos preços</t>
  </si>
  <si>
    <t xml:space="preserve">14/10/2026. Preços mudam: conferir no dia do pedido.</t>
  </si>
  <si>
    <t xml:space="preserve">CEP usado no frete</t>
  </si>
  <si>
    <t xml:space="preserve">05508-010 (Poli-USP, Butantã, São Paulo-SP). Trocar se a entrega for em outro endereço.</t>
  </si>
  <si>
    <t xml:space="preserve">Pix/boleto e cartão</t>
  </si>
  <si>
    <t xml:space="preserve">Usinainfo dá 5% no Pix/boleto. Na Amazon e no 3D Fila o preço de cartão difere pouco. Totais nas duas formas.</t>
  </si>
  <si>
    <t xml:space="preserve">Variantes</t>
  </si>
  <si>
    <t xml:space="preserve">Variante A (embreagem e ímãs) precisa das etiquetas e dos ímãs. Variante B (lingueta com mola) dispensa os dois e usa uma mola de caneta. O pedido traz os itens da A porque o teste dela decide o projeto.</t>
  </si>
  <si>
    <t xml:space="preserve">Primeiro teste</t>
  </si>
  <si>
    <t xml:space="preserve">Etiquetas + ímãs: ver se três ímãs empilhados abrem a embreagem. Power bank + ESP32: ver se o power bank não desliga sozinho.</t>
  </si>
  <si>
    <t xml:space="preserve">Etiquetas</t>
  </si>
  <si>
    <t xml:space="preserve">O anúncio da Amazon tem 1 em estoque e vem do exterior (28/10 a 04/11). Alternativa: kit de 100 mini tags no Mercado Livre por cerca de R$ 150 (preço de trecho de busca).</t>
  </si>
  <si>
    <t xml:space="preserve">Fretes não calculados</t>
  </si>
  <si>
    <t xml:space="preserve">Amazon: confirmar no carrinho. Magazine Luiza: estimativa da região de Osasco, sem o CEP exato. 3D Fila e lojas de itens "Se não tiver": a cotar.</t>
  </si>
  <si>
    <t xml:space="preserve">Preços de trecho de busca</t>
  </si>
  <si>
    <t xml:space="preserve">Itens com "Trecho de busca" na coluna Origem do preço não tiveram a página aberta. Conferir antes de pedir.</t>
  </si>
  <si>
    <t xml:space="preserve">Ferramentas (a equipe já deve ter)</t>
  </si>
  <si>
    <t xml:space="preserve">Serrinha, óculos de proteção, chave Philips pequena, paquímetro ou régua, lixa fina, estilete, alicate de bico, notebook, cabo USB-C de dados.</t>
  </si>
  <si>
    <t xml:space="preserve">De casa</t>
  </si>
  <si>
    <t xml:space="preserve">Um pregador de roupa (mola da garra) e uma caneta com mola (variante B).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</si>
</sst>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;&quot;-R$ &quot;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8EEF5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5"/>
      <rgbColor rgb="FF660066"/>
      <rgbColor rgb="FFFF8080"/>
      <rgbColor rgb="FF0563C1"/>
      <rgbColor rgb="FFC9D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usinainfo.com.br/esp32/esp32-wifi-e-bluetooth-com-usb-c-30-pinos-e-cp2102-9114.html" TargetMode="External"/><Relationship Id="rId2" Type="http://schemas.openxmlformats.org/officeDocument/2006/relationships/hyperlink" Target="https://www.usinainfo.com.br/expansores-shields/expansor-para-esp32-devkit-v1-30-pinos-usb-c-e-micro-8795.html" TargetMode="External"/><Relationship Id="rId3" Type="http://schemas.openxmlformats.org/officeDocument/2006/relationships/hyperlink" Target="https://www.usinainfo.com.br/servo-motores/micro-servo-motor-9g-sg90-180-16kgfcm-de-posicao-2299.html" TargetMode="External"/><Relationship Id="rId4" Type="http://schemas.openxmlformats.org/officeDocument/2006/relationships/hyperlink" Target="https://www.usinainfo.com.br/sensor-de-vibracao/modulo-chave-fim-curso-sensor-de-impacto-para-projetos-4618.html" TargetMode="External"/><Relationship Id="rId5" Type="http://schemas.openxmlformats.org/officeDocument/2006/relationships/hyperlink" Target="https://www.usinainfo.com.br/outros-modulos-arduino/semaforo-led-33v5v-8mm-s3-5466.html" TargetMode="External"/><Relationship Id="rId6" Type="http://schemas.openxmlformats.org/officeDocument/2006/relationships/hyperlink" Target="https://www.usinainfo.com.br/imas-de-neodimio-e-acessorios-magneticos/ima-de-neodimio-n50-super-forte-10mm-x-4mm-kit-com-10-unidades-5012.html" TargetMode="External"/><Relationship Id="rId7" Type="http://schemas.openxmlformats.org/officeDocument/2006/relationships/hyperlink" Target="https://www.usinainfo.com.br/jumper/jumper-premium-para-protoboard-femea-femea-20cm-kit-c-20-pecas-2612.html" TargetMode="External"/><Relationship Id="rId8" Type="http://schemas.openxmlformats.org/officeDocument/2006/relationships/hyperlink" Target="https://www.usinainfo.com.br/jumper/jumper-premium-para-protoboard-macho-femea-20cm-kit-c-20-pecas-2314.html" TargetMode="External"/><Relationship Id="rId9" Type="http://schemas.openxmlformats.org/officeDocument/2006/relationships/hyperlink" Target="https://www.usinainfo.com.br/capacitor-eletrolitico/capacitor-eletrolitico-1000uf-16v-3052.html" TargetMode="External"/><Relationship Id="rId10" Type="http://schemas.openxmlformats.org/officeDocument/2006/relationships/hyperlink" Target="https://www.amazon.com.br/dp/B0GP6ZF16R" TargetMode="External"/><Relationship Id="rId11" Type="http://schemas.openxmlformats.org/officeDocument/2006/relationships/hyperlink" Target="https://www.amazon.com.br/dp/B0DHVLRFGD" TargetMode="External"/><Relationship Id="rId12" Type="http://schemas.openxmlformats.org/officeDocument/2006/relationships/hyperlink" Target="https://www.amazon.com.br/dp/B0GS5M3LC5" TargetMode="External"/><Relationship Id="rId13" Type="http://schemas.openxmlformats.org/officeDocument/2006/relationships/hyperlink" Target="https://www.magazineluiza.com.br/adaptador-sem-fio-wireless-qi-inducao-receptor-universal-tipo-c-brasil-home/p/gkj66889f8/in/usba/" TargetMode="External"/><Relationship Id="rId14" Type="http://schemas.openxmlformats.org/officeDocument/2006/relationships/hyperlink" Target="https://www.magazineluiza.com.br/carregador-por-inducao-15w-sem-fio-usb-acompanha-cabo-usb-c-le520-lelong/p/ke9dh49dk3/te/accp/" TargetMode="External"/><Relationship Id="rId15" Type="http://schemas.openxmlformats.org/officeDocument/2006/relationships/hyperlink" Target="https://3dfila.com.br/produto/filamento-pla-preto/" TargetMode="External"/><Relationship Id="rId16" Type="http://schemas.openxmlformats.org/officeDocument/2006/relationships/hyperlink" Target="https://www.amazon.com.br/dp/B0CKTK9HSJ" TargetMode="External"/><Relationship Id="rId17" Type="http://schemas.openxmlformats.org/officeDocument/2006/relationships/hyperlink" Target="https://www.usinainfo.com.br/robotica-educacional/kit-de-molas-para-robotica-200-pecas-mola-de-compressao-e-extensao-para-projetos-diy-5160.html" TargetMode="External"/><Relationship Id="rId18" Type="http://schemas.openxmlformats.org/officeDocument/2006/relationships/hyperlink" Target="https://www.usinainfo.com.br/servo-motores/micro-servo-9g-tower-pro-mg90s-180-22kgfcm-de-posicao-com-engrenagens-metalicas-3628.html" TargetMode="External"/><Relationship Id="rId19" Type="http://schemas.openxmlformats.org/officeDocument/2006/relationships/hyperlink" Target="https://www.imadeneodimio.com/ima-de-neodimio-disco-20mm-x-10mm-n42" TargetMode="External"/><Relationship Id="rId20" Type="http://schemas.openxmlformats.org/officeDocument/2006/relationships/hyperlink" Target="https://www.usinainfo.com.br/mini-fechadura-eletrica-solenoide/fechadura-eletrica-solenoide-12v-nf-compacta-fec-91-lingueta-superior-8073.html" TargetMode="External"/><Relationship Id="rId21" Type="http://schemas.openxmlformats.org/officeDocument/2006/relationships/hyperlink" Target="https://www.usinainfo.com.br/rele-arduino/modulo-rele-3v-10a-1-canal-com-optoacoplador-para-esp32-5997.html" TargetMode="External"/><Relationship Id="rId22" Type="http://schemas.openxmlformats.org/officeDocument/2006/relationships/hyperlink" Target="https://www.usinainfo.com.br/regulador-de-tensao/regulador-de-tensao-ajustavel-mt3608-step-up-saida-25v-a-28vdc-2a-4489.html" TargetMode="External"/><Relationship Id="rId23" Type="http://schemas.openxmlformats.org/officeDocument/2006/relationships/hyperlink" Target="https://www.extra.com.br/p/1569921696" TargetMode="External"/><Relationship Id="rId24" Type="http://schemas.openxmlformats.org/officeDocument/2006/relationships/hyperlink" Target="https://www.google.com/search?tbm=shop&amp;q=Super+Bonder+Power+Flex+Gel+2g" TargetMode="External"/><Relationship Id="rId25" Type="http://schemas.openxmlformats.org/officeDocument/2006/relationships/hyperlink" Target="https://www.google.com/search?tbm=shop&amp;q=fita+antiderrapante+tesa+25mm+5m" TargetMode="External"/><Relationship Id="rId26" Type="http://schemas.openxmlformats.org/officeDocument/2006/relationships/hyperlink" Target="https://www.google.com/search?tbm=shop&amp;q=papel+adesivo+A4+fosco+Masterprint" TargetMode="External"/><Relationship Id="rId27" Type="http://schemas.openxmlformats.org/officeDocument/2006/relationships/hyperlink" Target="https://lista.mercadolivre.com.br/parafuso-m3-x-40mm" TargetMode="External"/><Relationship Id="rId2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tbm=shop&amp;q=fita+antiderrapante+tesa+25mm+5m" TargetMode="External"/><Relationship Id="rId2" Type="http://schemas.openxmlformats.org/officeDocument/2006/relationships/hyperlink" Target="https://lista.mercadolivre.com.br/parafuso-m3-x-40mm" TargetMode="External"/><Relationship Id="rId3" Type="http://schemas.openxmlformats.org/officeDocument/2006/relationships/hyperlink" Target="https://www.amazon.com.br/dp/B0GP6ZF16R" TargetMode="External"/><Relationship Id="rId4" Type="http://schemas.openxmlformats.org/officeDocument/2006/relationships/hyperlink" Target="https://www.usinainfo.com.br/mini-fechadura-eletrica-solenoide/fechadura-eletrica-solenoide-12v-nf-compacta-fec-91-lingueta-superior-8073.html" TargetMode="External"/><Relationship Id="rId5" Type="http://schemas.openxmlformats.org/officeDocument/2006/relationships/hyperlink" Target="https://www.usinainfo.com.br/servo-motores/micro-servo-motor-9g-sg90-180-16kgfcm-de-posicao-2299.html" TargetMode="External"/><Relationship Id="rId6" Type="http://schemas.openxmlformats.org/officeDocument/2006/relationships/hyperlink" Target="https://www.usinainfo.com.br/imas-de-neodimio-e-acessorios-magneticos/ima-de-neodimio-n50-super-forte-10mm-x-4mm-kit-com-10-unidades-5012.html" TargetMode="External"/><Relationship Id="rId7" Type="http://schemas.openxmlformats.org/officeDocument/2006/relationships/hyperlink" Target="https://www.usinainfo.com.br/robotica-educacional/kit-de-molas-para-robotica-200-pecas-mola-de-compressao-e-extensao-para-projetos-diy-5160.html" TargetMode="External"/><Relationship Id="rId8" Type="http://schemas.openxmlformats.org/officeDocument/2006/relationships/hyperlink" Target="https://www.usinainfo.com.br/servo-motores/micro-servo-9g-tower-pro-mg90s-180-22kgfcm-de-posicao-com-engrenagens-metalicas-3628.html" TargetMode="External"/><Relationship Id="rId9" Type="http://schemas.openxmlformats.org/officeDocument/2006/relationships/hyperlink" Target="https://www.imadeneodimio.com/ima-de-neodimio-disco-20mm-x-10mm-n42" TargetMode="External"/><Relationship Id="rId10" Type="http://schemas.openxmlformats.org/officeDocument/2006/relationships/hyperlink" Target="https://www.usinainfo.com.br/rele-arduino/modulo-rele-3v-10a-1-canal-com-optoacoplador-para-esp32-5997.html" TargetMode="External"/><Relationship Id="rId11" Type="http://schemas.openxmlformats.org/officeDocument/2006/relationships/hyperlink" Target="https://www.amazon.com.br/dp/B0CKTK9HSJ" TargetMode="External"/><Relationship Id="rId12" Type="http://schemas.openxmlformats.org/officeDocument/2006/relationships/hyperlink" Target="https://www.google.com/search?tbm=shop&amp;q=papel+adesivo+A4+fosco+Masterprint" TargetMode="External"/><Relationship Id="rId13" Type="http://schemas.openxmlformats.org/officeDocument/2006/relationships/hyperlink" Target="https://www.usinainfo.com.br/outros-modulos-arduino/semaforo-led-33v5v-8mm-s3-5466.html" TargetMode="External"/><Relationship Id="rId14" Type="http://schemas.openxmlformats.org/officeDocument/2006/relationships/hyperlink" Target="https://www.usinainfo.com.br/esp32/esp32-wifi-e-bluetooth-com-usb-c-30-pinos-e-cp2102-9114.html" TargetMode="External"/><Relationship Id="rId15" Type="http://schemas.openxmlformats.org/officeDocument/2006/relationships/hyperlink" Target="https://www.usinainfo.com.br/expansores-shields/expansor-para-esp32-devkit-v1-30-pinos-usb-c-e-micro-8795.html" TargetMode="External"/><Relationship Id="rId16" Type="http://schemas.openxmlformats.org/officeDocument/2006/relationships/hyperlink" Target="https://www.usinainfo.com.br/sensor-de-vibracao/modulo-chave-fim-curso-sensor-de-impacto-para-projetos-4618.html" TargetMode="External"/><Relationship Id="rId17" Type="http://schemas.openxmlformats.org/officeDocument/2006/relationships/hyperlink" Target="https://www.usinainfo.com.br/jumper/jumper-premium-para-protoboard-femea-femea-20cm-kit-c-20-pecas-2612.html" TargetMode="External"/><Relationship Id="rId18" Type="http://schemas.openxmlformats.org/officeDocument/2006/relationships/hyperlink" Target="https://www.usinainfo.com.br/jumper/jumper-premium-para-protoboard-macho-femea-20cm-kit-c-20-pecas-2314.html" TargetMode="External"/><Relationship Id="rId19" Type="http://schemas.openxmlformats.org/officeDocument/2006/relationships/hyperlink" Target="https://www.usinainfo.com.br/capacitor-eletrolitico/capacitor-eletrolitico-1000uf-16v-3052.html" TargetMode="External"/><Relationship Id="rId20" Type="http://schemas.openxmlformats.org/officeDocument/2006/relationships/hyperlink" Target="https://www.amazon.com.br/dp/B0DHVLRFGD" TargetMode="External"/><Relationship Id="rId21" Type="http://schemas.openxmlformats.org/officeDocument/2006/relationships/hyperlink" Target="https://www.magazineluiza.com.br/adaptador-sem-fio-wireless-qi-inducao-receptor-universal-tipo-c-brasil-home/p/gkj66889f8/in/usba/" TargetMode="External"/><Relationship Id="rId22" Type="http://schemas.openxmlformats.org/officeDocument/2006/relationships/hyperlink" Target="https://www.magazineluiza.com.br/carregador-por-inducao-15w-sem-fio-usb-acompanha-cabo-usb-c-le520-lelong/p/ke9dh49dk3/te/accp/" TargetMode="External"/><Relationship Id="rId23" Type="http://schemas.openxmlformats.org/officeDocument/2006/relationships/hyperlink" Target="https://www.usinainfo.com.br/regulador-de-tensao/regulador-de-tensao-ajustavel-mt3608-step-up-saida-25v-a-28vdc-2a-4489.html" TargetMode="External"/><Relationship Id="rId24" Type="http://schemas.openxmlformats.org/officeDocument/2006/relationships/hyperlink" Target="https://www.amazon.com.br/dp/B0GS5M3LC5" TargetMode="External"/><Relationship Id="rId25" Type="http://schemas.openxmlformats.org/officeDocument/2006/relationships/hyperlink" Target="https://3dfila.com.br/produto/filamento-pla-preto/" TargetMode="External"/><Relationship Id="rId26" Type="http://schemas.openxmlformats.org/officeDocument/2006/relationships/hyperlink" Target="https://www.extra.com.br/p/1569921696" TargetMode="External"/><Relationship Id="rId27" Type="http://schemas.openxmlformats.org/officeDocument/2006/relationships/hyperlink" Target="https://www.google.com/search?tbm=shop&amp;q=Super+Bonder+Power+Flex+Gel+2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mazon.com.br/dp/B0GS5M3LC5" TargetMode="External"/><Relationship Id="rId2" Type="http://schemas.openxmlformats.org/officeDocument/2006/relationships/hyperlink" Target="https://www.extra.com.br/p/1569921696" TargetMode="External"/><Relationship Id="rId3" Type="http://schemas.openxmlformats.org/officeDocument/2006/relationships/hyperlink" Target="https://www.google.com/search?tbm=shop&amp;q=Super+Bonder+Power+Flex+Gel+2g" TargetMode="External"/><Relationship Id="rId4" Type="http://schemas.openxmlformats.org/officeDocument/2006/relationships/hyperlink" Target="https://www.google.com/search?tbm=shop&amp;q=papel+adesivo+A4+fosco+Masterprint" TargetMode="External"/><Relationship Id="rId5" Type="http://schemas.openxmlformats.org/officeDocument/2006/relationships/hyperlink" Target="https://www.amazon.com.br/dp/B0GP6ZF16R" TargetMode="External"/><Relationship Id="rId6" Type="http://schemas.openxmlformats.org/officeDocument/2006/relationships/hyperlink" Target="https://www.usinainfo.com.br/mini-fechadura-eletrica-solenoide/fechadura-eletrica-solenoide-12v-nf-compacta-fec-91-lingueta-superior-8073.html" TargetMode="External"/><Relationship Id="rId7" Type="http://schemas.openxmlformats.org/officeDocument/2006/relationships/hyperlink" Target="https://www.google.com/search?tbm=shop&amp;q=fita+antiderrapante+tesa+25mm+5m" TargetMode="External"/><Relationship Id="rId8" Type="http://schemas.openxmlformats.org/officeDocument/2006/relationships/hyperlink" Target="https://lista.mercadolivre.com.br/parafuso-m3-x-40mm" TargetMode="External"/><Relationship Id="rId9" Type="http://schemas.openxmlformats.org/officeDocument/2006/relationships/hyperlink" Target="https://www.usinainfo.com.br/servo-motores/micro-servo-motor-9g-sg90-180-16kgfcm-de-posicao-2299.html" TargetMode="External"/><Relationship Id="rId10" Type="http://schemas.openxmlformats.org/officeDocument/2006/relationships/hyperlink" Target="https://www.usinainfo.com.br/imas-de-neodimio-e-acessorios-magneticos/ima-de-neodimio-n50-super-forte-10mm-x-4mm-kit-com-10-unidades-5012.html" TargetMode="External"/><Relationship Id="rId11" Type="http://schemas.openxmlformats.org/officeDocument/2006/relationships/hyperlink" Target="https://www.usinainfo.com.br/robotica-educacional/kit-de-molas-para-robotica-200-pecas-mola-de-compressao-e-extensao-para-projetos-diy-5160.html" TargetMode="External"/><Relationship Id="rId12" Type="http://schemas.openxmlformats.org/officeDocument/2006/relationships/hyperlink" Target="https://www.usinainfo.com.br/servo-motores/micro-servo-9g-tower-pro-mg90s-180-22kgfcm-de-posicao-com-engrenagens-metalicas-3628.html" TargetMode="External"/><Relationship Id="rId13" Type="http://schemas.openxmlformats.org/officeDocument/2006/relationships/hyperlink" Target="https://www.imadeneodimio.com/ima-de-neodimio-disco-20mm-x-10mm-n42" TargetMode="External"/><Relationship Id="rId14" Type="http://schemas.openxmlformats.org/officeDocument/2006/relationships/hyperlink" Target="https://www.usinainfo.com.br/rele-arduino/modulo-rele-3v-10a-1-canal-com-optoacoplador-para-esp32-5997.html" TargetMode="External"/><Relationship Id="rId15" Type="http://schemas.openxmlformats.org/officeDocument/2006/relationships/hyperlink" Target="https://www.usinainfo.com.br/outros-modulos-arduino/semaforo-led-33v5v-8mm-s3-5466.html" TargetMode="External"/><Relationship Id="rId16" Type="http://schemas.openxmlformats.org/officeDocument/2006/relationships/hyperlink" Target="https://www.usinainfo.com.br/esp32/esp32-wifi-e-bluetooth-com-usb-c-30-pinos-e-cp2102-9114.html" TargetMode="External"/><Relationship Id="rId17" Type="http://schemas.openxmlformats.org/officeDocument/2006/relationships/hyperlink" Target="https://www.usinainfo.com.br/expansores-shields/expansor-para-esp32-devkit-v1-30-pinos-usb-c-e-micro-8795.html" TargetMode="External"/><Relationship Id="rId18" Type="http://schemas.openxmlformats.org/officeDocument/2006/relationships/hyperlink" Target="https://www.usinainfo.com.br/sensor-de-vibracao/modulo-chave-fim-curso-sensor-de-impacto-para-projetos-4618.html" TargetMode="External"/><Relationship Id="rId19" Type="http://schemas.openxmlformats.org/officeDocument/2006/relationships/hyperlink" Target="https://www.usinainfo.com.br/jumper/jumper-premium-para-protoboard-femea-femea-20cm-kit-c-20-pecas-2612.html" TargetMode="External"/><Relationship Id="rId20" Type="http://schemas.openxmlformats.org/officeDocument/2006/relationships/hyperlink" Target="https://www.usinainfo.com.br/jumper/jumper-premium-para-protoboard-macho-femea-20cm-kit-c-20-pecas-2314.html" TargetMode="External"/><Relationship Id="rId21" Type="http://schemas.openxmlformats.org/officeDocument/2006/relationships/hyperlink" Target="https://www.usinainfo.com.br/capacitor-eletrolitico/capacitor-eletrolitico-1000uf-16v-3052.html" TargetMode="External"/><Relationship Id="rId22" Type="http://schemas.openxmlformats.org/officeDocument/2006/relationships/hyperlink" Target="https://www.amazon.com.br/dp/B0DHVLRFGD" TargetMode="External"/><Relationship Id="rId23" Type="http://schemas.openxmlformats.org/officeDocument/2006/relationships/hyperlink" Target="https://www.magazineluiza.com.br/adaptador-sem-fio-wireless-qi-inducao-receptor-universal-tipo-c-brasil-home/p/gkj66889f8/in/usba/" TargetMode="External"/><Relationship Id="rId24" Type="http://schemas.openxmlformats.org/officeDocument/2006/relationships/hyperlink" Target="https://www.usinainfo.com.br/regulador-de-tensao/regulador-de-tensao-ajustavel-mt3608-step-up-saida-25v-a-28vdc-2a-4489.html" TargetMode="External"/><Relationship Id="rId25" Type="http://schemas.openxmlformats.org/officeDocument/2006/relationships/hyperlink" Target="https://www.magazineluiza.com.br/carregador-por-inducao-15w-sem-fio-usb-acompanha-cabo-usb-c-le520-lelong/p/ke9dh49dk3/te/accp/" TargetMode="External"/><Relationship Id="rId26" Type="http://schemas.openxmlformats.org/officeDocument/2006/relationships/hyperlink" Target="https://3dfila.com.br/produto/filamento-pla-preto/" TargetMode="External"/><Relationship Id="rId27" Type="http://schemas.openxmlformats.org/officeDocument/2006/relationships/hyperlink" Target="https://www.amazon.com.br/dp/B0CKTK9HSJ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martkits.com.br/display-tft-ips-lcd-240x240-1-3-spi-st7789-colorido-rgb" TargetMode="External"/><Relationship Id="rId2" Type="http://schemas.openxmlformats.org/officeDocument/2006/relationships/hyperlink" Target="https://www.kabum.com.br/produto/819532" TargetMode="External"/><Relationship Id="rId3" Type="http://schemas.openxmlformats.org/officeDocument/2006/relationships/hyperlink" Target="https://www.kabum.com.br/produto/177521" TargetMode="External"/><Relationship Id="rId4" Type="http://schemas.openxmlformats.org/officeDocument/2006/relationships/hyperlink" Target="https://www.eletrogate.com/jumpers-femea-femea-40-unidades-de-20-cm" TargetMode="External"/><Relationship Id="rId5" Type="http://schemas.openxmlformats.org/officeDocument/2006/relationships/hyperlink" Target="https://www.eletrogate.com/mini-trava-eletrica-solenoide" TargetMode="External"/><Relationship Id="rId6" Type="http://schemas.openxmlformats.org/officeDocument/2006/relationships/hyperlink" Target="https://www.usinainfo.com.br/mini-fechadura-eletrica-solenoide/mini-solenoide-12v-nf-tipo-tranca-jf-0520b-5246.html" TargetMode="External"/><Relationship Id="rId7" Type="http://schemas.openxmlformats.org/officeDocument/2006/relationships/hyperlink" Target="https://www.fermarc.com/mini-solenoide-5v-jf-0530b" TargetMode="External"/><Relationship Id="rId8" Type="http://schemas.openxmlformats.org/officeDocument/2006/relationships/hyperlink" Target="https://www.amazon.com.br/dp/B07GZH682Y" TargetMode="External"/><Relationship Id="rId9" Type="http://schemas.openxmlformats.org/officeDocument/2006/relationships/hyperlink" Target="https://www.eletrogate.com/eletroima-solenoide-12v-dc-25kg" TargetMode="External"/><Relationship Id="rId10" Type="http://schemas.openxmlformats.org/officeDocument/2006/relationships/hyperlink" Target="https://paraisodoseletronicos.com.br/produto/carregador-portatil-wireless-rapido-por-inducao-15w-alta-velocidade-le520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0" min="10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4.05" hidden="false" customHeight="false" outlineLevel="0" collapsed="false">
      <c r="A5" s="4" t="s">
        <v>12</v>
      </c>
      <c r="B5" s="4" t="n">
        <f aca="false">COUNTIFS(Itens!$M$5:$M$31,A5,Itens!$G$5:$G$31,"Sim")</f>
        <v>9</v>
      </c>
      <c r="C5" s="5" t="n">
        <f aca="false">SUMIFS(Itens!$K$5:$K$31,Itens!$M$5:$M$31,A5,Itens!$G$5:$G$31,"Sim")</f>
        <v>158.68</v>
      </c>
      <c r="D5" s="5" t="n">
        <f aca="false">SUMIFS(Itens!$L$5:$L$31,Itens!$M$5:$M$31,A5,Itens!$G$5:$G$31,"Sim")</f>
        <v>167</v>
      </c>
      <c r="E5" s="6" t="n">
        <v>12.54</v>
      </c>
      <c r="F5" s="4" t="s">
        <v>13</v>
      </c>
      <c r="G5" s="4" t="s">
        <v>14</v>
      </c>
      <c r="H5" s="5" t="n">
        <f aca="false">IF(B5=0,0,C5+E5)</f>
        <v>171.22</v>
      </c>
      <c r="I5" s="5" t="n">
        <f aca="false">IF(B5=0,0,D5+E5)</f>
        <v>179.54</v>
      </c>
      <c r="J5" s="4" t="s">
        <v>15</v>
      </c>
    </row>
    <row r="6" customFormat="false" ht="24.05" hidden="false" customHeight="false" outlineLevel="0" collapsed="false">
      <c r="A6" s="4" t="s">
        <v>16</v>
      </c>
      <c r="B6" s="4" t="n">
        <f aca="false">COUNTIFS(Itens!$M$5:$M$31,A6,Itens!$G$5:$G$31,"Sim")</f>
        <v>3</v>
      </c>
      <c r="C6" s="5" t="n">
        <f aca="false">SUMIFS(Itens!$K$5:$K$31,Itens!$M$5:$M$31,A6,Itens!$G$5:$G$31,"Sim")</f>
        <v>178.56</v>
      </c>
      <c r="D6" s="5" t="n">
        <f aca="false">SUMIFS(Itens!$L$5:$L$31,Itens!$M$5:$M$31,A6,Itens!$G$5:$G$31,"Sim")</f>
        <v>178.56</v>
      </c>
      <c r="E6" s="6" t="n">
        <v>0</v>
      </c>
      <c r="F6" s="4" t="s">
        <v>17</v>
      </c>
      <c r="G6" s="4" t="s">
        <v>18</v>
      </c>
      <c r="H6" s="5" t="n">
        <f aca="false">IF(B6=0,0,C6+E6)</f>
        <v>178.56</v>
      </c>
      <c r="I6" s="5" t="n">
        <f aca="false">IF(B6=0,0,D6+E6)</f>
        <v>178.56</v>
      </c>
      <c r="J6" s="4" t="s">
        <v>19</v>
      </c>
    </row>
    <row r="7" customFormat="false" ht="24.05" hidden="false" customHeight="false" outlineLevel="0" collapsed="false">
      <c r="A7" s="4" t="s">
        <v>20</v>
      </c>
      <c r="B7" s="4" t="n">
        <f aca="false">COUNTIFS(Itens!$M$5:$M$31,A7,Itens!$G$5:$G$31,"Sim")</f>
        <v>2</v>
      </c>
      <c r="C7" s="5" t="n">
        <f aca="false">SUMIFS(Itens!$K$5:$K$31,Itens!$M$5:$M$31,A7,Itens!$G$5:$G$31,"Sim")</f>
        <v>98.67</v>
      </c>
      <c r="D7" s="5" t="n">
        <f aca="false">SUMIFS(Itens!$L$5:$L$31,Itens!$M$5:$M$31,A7,Itens!$G$5:$G$31,"Sim")</f>
        <v>109.73</v>
      </c>
      <c r="E7" s="6" t="n">
        <v>12.9</v>
      </c>
      <c r="F7" s="4" t="s">
        <v>21</v>
      </c>
      <c r="G7" s="4" t="s">
        <v>22</v>
      </c>
      <c r="H7" s="5" t="n">
        <f aca="false">IF(B7=0,0,C7+E7)</f>
        <v>111.57</v>
      </c>
      <c r="I7" s="5" t="n">
        <f aca="false">IF(B7=0,0,D7+E7)</f>
        <v>122.63</v>
      </c>
      <c r="J7" s="4" t="s">
        <v>23</v>
      </c>
    </row>
    <row r="8" customFormat="false" ht="15" hidden="false" customHeight="false" outlineLevel="0" collapsed="false">
      <c r="A8" s="4" t="s">
        <v>24</v>
      </c>
      <c r="B8" s="4" t="n">
        <f aca="false">COUNTIFS(Itens!$M$5:$M$31,A8,Itens!$G$5:$G$31,"Sim")</f>
        <v>1</v>
      </c>
      <c r="C8" s="5" t="n">
        <f aca="false">SUMIFS(Itens!$K$5:$K$31,Itens!$M$5:$M$31,A8,Itens!$G$5:$G$31,"Sim")</f>
        <v>89.9</v>
      </c>
      <c r="D8" s="5" t="n">
        <f aca="false">SUMIFS(Itens!$L$5:$L$31,Itens!$M$5:$M$31,A8,Itens!$G$5:$G$31,"Sim")</f>
        <v>97.09</v>
      </c>
      <c r="E8" s="7"/>
      <c r="F8" s="4" t="s">
        <v>25</v>
      </c>
      <c r="G8" s="4" t="s">
        <v>26</v>
      </c>
      <c r="H8" s="5" t="n">
        <f aca="false">IF(B8=0,0,C8+E8)</f>
        <v>89.9</v>
      </c>
      <c r="I8" s="5" t="n">
        <f aca="false">IF(B8=0,0,D8+E8)</f>
        <v>97.09</v>
      </c>
      <c r="J8" s="4" t="s">
        <v>27</v>
      </c>
    </row>
    <row r="9" customFormat="false" ht="15" hidden="false" customHeight="false" outlineLevel="0" collapsed="false">
      <c r="A9" s="4" t="s">
        <v>28</v>
      </c>
      <c r="B9" s="4" t="n">
        <f aca="false">COUNTIFS(Itens!$M$5:$M$31,A9,Itens!$G$5:$G$31,"Sim")</f>
        <v>0</v>
      </c>
      <c r="C9" s="5" t="n">
        <f aca="false">SUMIFS(Itens!$K$5:$K$31,Itens!$M$5:$M$31,A9,Itens!$G$5:$G$31,"Sim")</f>
        <v>0</v>
      </c>
      <c r="D9" s="5" t="n">
        <f aca="false">SUMIFS(Itens!$L$5:$L$31,Itens!$M$5:$M$31,A9,Itens!$G$5:$G$31,"Sim")</f>
        <v>0</v>
      </c>
      <c r="E9" s="7"/>
      <c r="F9" s="4" t="s">
        <v>25</v>
      </c>
      <c r="G9" s="4" t="s">
        <v>26</v>
      </c>
      <c r="H9" s="5" t="n">
        <f aca="false">IF(B9=0,0,C9+E9)</f>
        <v>0</v>
      </c>
      <c r="I9" s="5" t="n">
        <f aca="false">IF(B9=0,0,D9+E9)</f>
        <v>0</v>
      </c>
      <c r="J9" s="4" t="s">
        <v>29</v>
      </c>
    </row>
    <row r="10" customFormat="false" ht="15" hidden="false" customHeight="false" outlineLevel="0" collapsed="false">
      <c r="A10" s="4" t="s">
        <v>30</v>
      </c>
      <c r="B10" s="4" t="n">
        <f aca="false">COUNTIFS(Itens!$M$5:$M$31,A10,Itens!$G$5:$G$31,"Sim")</f>
        <v>0</v>
      </c>
      <c r="C10" s="5" t="n">
        <f aca="false">SUMIFS(Itens!$K$5:$K$31,Itens!$M$5:$M$31,A10,Itens!$G$5:$G$31,"Sim")</f>
        <v>0</v>
      </c>
      <c r="D10" s="5" t="n">
        <f aca="false">SUMIFS(Itens!$L$5:$L$31,Itens!$M$5:$M$31,A10,Itens!$G$5:$G$31,"Sim")</f>
        <v>0</v>
      </c>
      <c r="E10" s="7"/>
      <c r="F10" s="4" t="s">
        <v>25</v>
      </c>
      <c r="G10" s="4" t="s">
        <v>26</v>
      </c>
      <c r="H10" s="5" t="n">
        <f aca="false">IF(B10=0,0,C10+E10)</f>
        <v>0</v>
      </c>
      <c r="I10" s="5" t="n">
        <f aca="false">IF(B10=0,0,D10+E10)</f>
        <v>0</v>
      </c>
      <c r="J10" s="4" t="s">
        <v>31</v>
      </c>
    </row>
    <row r="11" customFormat="false" ht="15" hidden="false" customHeight="false" outlineLevel="0" collapsed="false">
      <c r="A11" s="4" t="s">
        <v>32</v>
      </c>
      <c r="B11" s="4" t="n">
        <f aca="false">COUNTIFS(Itens!$M$5:$M$31,A11,Itens!$G$5:$G$31,"Sim")</f>
        <v>0</v>
      </c>
      <c r="C11" s="5" t="n">
        <f aca="false">SUMIFS(Itens!$K$5:$K$31,Itens!$M$5:$M$31,A11,Itens!$G$5:$G$31,"Sim")</f>
        <v>0</v>
      </c>
      <c r="D11" s="5" t="n">
        <f aca="false">SUMIFS(Itens!$L$5:$L$31,Itens!$M$5:$M$31,A11,Itens!$G$5:$G$31,"Sim")</f>
        <v>0</v>
      </c>
      <c r="E11" s="7"/>
      <c r="F11" s="4" t="s">
        <v>25</v>
      </c>
      <c r="G11" s="4" t="s">
        <v>26</v>
      </c>
      <c r="H11" s="5" t="n">
        <f aca="false">IF(B11=0,0,C11+E11)</f>
        <v>0</v>
      </c>
      <c r="I11" s="5" t="n">
        <f aca="false">IF(B11=0,0,D11+E11)</f>
        <v>0</v>
      </c>
      <c r="J11" s="4" t="s">
        <v>33</v>
      </c>
    </row>
    <row r="12" customFormat="false" ht="15" hidden="false" customHeight="false" outlineLevel="0" collapsed="false">
      <c r="A12" s="4" t="s">
        <v>34</v>
      </c>
      <c r="B12" s="4" t="n">
        <f aca="false">COUNTIFS(Itens!$M$5:$M$31,A12,Itens!$G$5:$G$31,"Sim")</f>
        <v>0</v>
      </c>
      <c r="C12" s="5" t="n">
        <f aca="false">SUMIFS(Itens!$K$5:$K$31,Itens!$M$5:$M$31,A12,Itens!$G$5:$G$31,"Sim")</f>
        <v>0</v>
      </c>
      <c r="D12" s="5" t="n">
        <f aca="false">SUMIFS(Itens!$L$5:$L$31,Itens!$M$5:$M$31,A12,Itens!$G$5:$G$31,"Sim")</f>
        <v>0</v>
      </c>
      <c r="E12" s="7"/>
      <c r="F12" s="4" t="s">
        <v>25</v>
      </c>
      <c r="G12" s="4" t="s">
        <v>26</v>
      </c>
      <c r="H12" s="5" t="n">
        <f aca="false">IF(B12=0,0,C12+E12)</f>
        <v>0</v>
      </c>
      <c r="I12" s="5" t="n">
        <f aca="false">IF(B12=0,0,D12+E12)</f>
        <v>0</v>
      </c>
      <c r="J12" s="4" t="s">
        <v>35</v>
      </c>
    </row>
    <row r="13" customFormat="false" ht="15" hidden="false" customHeight="false" outlineLevel="0" collapsed="false">
      <c r="A13" s="8" t="s">
        <v>36</v>
      </c>
      <c r="B13" s="9" t="n">
        <f aca="false">SUM(B5:B12)</f>
        <v>15</v>
      </c>
      <c r="C13" s="10" t="n">
        <f aca="false">SUM(C5:C12)</f>
        <v>525.81</v>
      </c>
      <c r="D13" s="10" t="n">
        <f aca="false">SUM(D5:D12)</f>
        <v>552.38</v>
      </c>
      <c r="E13" s="10" t="n">
        <f aca="false">SUM(E5:E12)</f>
        <v>25.44</v>
      </c>
      <c r="H13" s="10" t="n">
        <f aca="false">SUM(H5:H12)</f>
        <v>551.25</v>
      </c>
      <c r="I13" s="10" t="n">
        <f aca="false">SUM(I5:I12)</f>
        <v>577.82</v>
      </c>
    </row>
    <row r="15" customFormat="false" ht="15" hidden="false" customHeight="false" outlineLevel="0" collapsed="false">
      <c r="A15" s="11" t="s">
        <v>37</v>
      </c>
    </row>
    <row r="16" customFormat="false" ht="15" hidden="false" customHeight="false" outlineLevel="0" collapsed="false">
      <c r="A16" s="8" t="str">
        <f aca="false">IF(COUNTIFS(B5:B12,"&gt;0",E5:E12,"")&gt;0,"Atenção: há loja com itens no pedido e frete ainda a cotar.","Todos os fretes das lojas com itens estão preenchidos.")</f>
        <v>Atenção: há loja com itens no pedido e frete ainda a cotar.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24"/>
    <col collapsed="false" customWidth="true" hidden="false" outlineLevel="0" max="18" min="18" style="0" width="50"/>
  </cols>
  <sheetData>
    <row r="1" customFormat="false" ht="16.15" hidden="false" customHeight="false" outlineLevel="0" collapsed="false">
      <c r="A1" s="1" t="s">
        <v>38</v>
      </c>
    </row>
    <row r="2" customFormat="false" ht="30" hidden="false" customHeight="true" outlineLevel="0" collapsed="false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customFormat="false" ht="30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2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</row>
    <row r="5" customFormat="false" ht="24.05" hidden="false" customHeight="false" outlineLevel="0" collapsed="false">
      <c r="A5" s="4" t="n">
        <v>1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13" t="s">
        <v>62</v>
      </c>
      <c r="H5" s="14" t="n">
        <v>1</v>
      </c>
      <c r="I5" s="6" t="n">
        <v>56.81</v>
      </c>
      <c r="J5" s="6" t="n">
        <v>59.8</v>
      </c>
      <c r="K5" s="5" t="n">
        <f aca="false">IF(I5="","",H5*I5)</f>
        <v>56.81</v>
      </c>
      <c r="L5" s="5" t="n">
        <f aca="false">IF(J5="","",H5*J5)</f>
        <v>59.8</v>
      </c>
      <c r="M5" s="4" t="s">
        <v>12</v>
      </c>
      <c r="N5" s="4" t="s">
        <v>12</v>
      </c>
      <c r="O5" s="15" t="s">
        <v>63</v>
      </c>
      <c r="P5" s="4" t="s">
        <v>64</v>
      </c>
      <c r="Q5" s="4" t="s">
        <v>65</v>
      </c>
      <c r="R5" s="4" t="s">
        <v>66</v>
      </c>
    </row>
    <row r="6" customFormat="false" ht="24.05" hidden="false" customHeight="false" outlineLevel="0" collapsed="false">
      <c r="A6" s="4" t="n">
        <v>2</v>
      </c>
      <c r="B6" s="4" t="s">
        <v>67</v>
      </c>
      <c r="C6" s="4" t="s">
        <v>58</v>
      </c>
      <c r="D6" s="4" t="s">
        <v>59</v>
      </c>
      <c r="E6" s="4" t="s">
        <v>60</v>
      </c>
      <c r="F6" s="4" t="s">
        <v>61</v>
      </c>
      <c r="G6" s="13" t="s">
        <v>62</v>
      </c>
      <c r="H6" s="14" t="n">
        <v>1</v>
      </c>
      <c r="I6" s="6" t="n">
        <v>21.19</v>
      </c>
      <c r="J6" s="6" t="n">
        <v>22.3</v>
      </c>
      <c r="K6" s="5" t="n">
        <f aca="false">IF(I6="","",H6*I6)</f>
        <v>21.19</v>
      </c>
      <c r="L6" s="5" t="n">
        <f aca="false">IF(J6="","",H6*J6)</f>
        <v>22.3</v>
      </c>
      <c r="M6" s="4" t="s">
        <v>12</v>
      </c>
      <c r="N6" s="4" t="s">
        <v>12</v>
      </c>
      <c r="O6" s="15" t="s">
        <v>68</v>
      </c>
      <c r="P6" s="4" t="s">
        <v>69</v>
      </c>
      <c r="Q6" s="4" t="s">
        <v>65</v>
      </c>
      <c r="R6" s="4" t="s">
        <v>70</v>
      </c>
    </row>
    <row r="7" customFormat="false" ht="15" hidden="false" customHeight="false" outlineLevel="0" collapsed="false">
      <c r="A7" s="4" t="n">
        <v>3</v>
      </c>
      <c r="B7" s="4" t="s">
        <v>71</v>
      </c>
      <c r="C7" s="4" t="s">
        <v>72</v>
      </c>
      <c r="D7" s="4" t="s">
        <v>73</v>
      </c>
      <c r="E7" s="4" t="s">
        <v>60</v>
      </c>
      <c r="F7" s="4" t="s">
        <v>61</v>
      </c>
      <c r="G7" s="13" t="s">
        <v>62</v>
      </c>
      <c r="H7" s="14" t="n">
        <v>2</v>
      </c>
      <c r="I7" s="6" t="n">
        <v>14.16</v>
      </c>
      <c r="J7" s="6" t="n">
        <v>14.9</v>
      </c>
      <c r="K7" s="5" t="n">
        <f aca="false">IF(I7="","",H7*I7)</f>
        <v>28.32</v>
      </c>
      <c r="L7" s="5" t="n">
        <f aca="false">IF(J7="","",H7*J7)</f>
        <v>29.8</v>
      </c>
      <c r="M7" s="4" t="s">
        <v>12</v>
      </c>
      <c r="N7" s="4" t="s">
        <v>12</v>
      </c>
      <c r="O7" s="15" t="s">
        <v>74</v>
      </c>
      <c r="P7" s="4" t="s">
        <v>69</v>
      </c>
      <c r="Q7" s="4" t="s">
        <v>65</v>
      </c>
      <c r="R7" s="4" t="s">
        <v>75</v>
      </c>
    </row>
    <row r="8" customFormat="false" ht="15" hidden="false" customHeight="false" outlineLevel="0" collapsed="false">
      <c r="A8" s="4" t="n">
        <v>4</v>
      </c>
      <c r="B8" s="4" t="s">
        <v>76</v>
      </c>
      <c r="C8" s="4" t="s">
        <v>58</v>
      </c>
      <c r="D8" s="4" t="s">
        <v>59</v>
      </c>
      <c r="E8" s="4" t="s">
        <v>60</v>
      </c>
      <c r="F8" s="4" t="s">
        <v>61</v>
      </c>
      <c r="G8" s="13" t="s">
        <v>62</v>
      </c>
      <c r="H8" s="14" t="n">
        <v>2</v>
      </c>
      <c r="I8" s="6" t="n">
        <v>4.79</v>
      </c>
      <c r="J8" s="6" t="n">
        <v>5.04</v>
      </c>
      <c r="K8" s="5" t="n">
        <f aca="false">IF(I8="","",H8*I8)</f>
        <v>9.58</v>
      </c>
      <c r="L8" s="5" t="n">
        <f aca="false">IF(J8="","",H8*J8)</f>
        <v>10.08</v>
      </c>
      <c r="M8" s="4" t="s">
        <v>12</v>
      </c>
      <c r="N8" s="4" t="s">
        <v>12</v>
      </c>
      <c r="O8" s="15" t="s">
        <v>77</v>
      </c>
      <c r="P8" s="4" t="s">
        <v>69</v>
      </c>
      <c r="Q8" s="4" t="s">
        <v>65</v>
      </c>
      <c r="R8" s="4" t="s">
        <v>78</v>
      </c>
    </row>
    <row r="9" customFormat="false" ht="15" hidden="false" customHeight="false" outlineLevel="0" collapsed="false">
      <c r="A9" s="4" t="n">
        <v>5</v>
      </c>
      <c r="B9" s="4" t="s">
        <v>79</v>
      </c>
      <c r="C9" s="4" t="s">
        <v>80</v>
      </c>
      <c r="D9" s="4" t="s">
        <v>81</v>
      </c>
      <c r="E9" s="4" t="s">
        <v>60</v>
      </c>
      <c r="F9" s="4" t="s">
        <v>61</v>
      </c>
      <c r="G9" s="13" t="s">
        <v>62</v>
      </c>
      <c r="H9" s="14" t="n">
        <v>1</v>
      </c>
      <c r="I9" s="6" t="n">
        <v>7.78</v>
      </c>
      <c r="J9" s="6" t="n">
        <v>8.19</v>
      </c>
      <c r="K9" s="5" t="n">
        <f aca="false">IF(I9="","",H9*I9)</f>
        <v>7.78</v>
      </c>
      <c r="L9" s="5" t="n">
        <f aca="false">IF(J9="","",H9*J9)</f>
        <v>8.19</v>
      </c>
      <c r="M9" s="4" t="s">
        <v>12</v>
      </c>
      <c r="N9" s="4" t="s">
        <v>12</v>
      </c>
      <c r="O9" s="15" t="s">
        <v>82</v>
      </c>
      <c r="P9" s="4" t="s">
        <v>69</v>
      </c>
      <c r="Q9" s="4" t="s">
        <v>65</v>
      </c>
      <c r="R9" s="4" t="s">
        <v>83</v>
      </c>
    </row>
    <row r="10" customFormat="false" ht="24.05" hidden="false" customHeight="false" outlineLevel="0" collapsed="false">
      <c r="A10" s="4" t="n">
        <v>6</v>
      </c>
      <c r="B10" s="4" t="s">
        <v>84</v>
      </c>
      <c r="C10" s="4" t="s">
        <v>72</v>
      </c>
      <c r="D10" s="4" t="s">
        <v>73</v>
      </c>
      <c r="E10" s="4" t="s">
        <v>85</v>
      </c>
      <c r="F10" s="4" t="s">
        <v>61</v>
      </c>
      <c r="G10" s="13" t="s">
        <v>62</v>
      </c>
      <c r="H10" s="14" t="n">
        <v>1</v>
      </c>
      <c r="I10" s="6" t="n">
        <v>21.48</v>
      </c>
      <c r="J10" s="6" t="n">
        <v>22.61</v>
      </c>
      <c r="K10" s="5" t="n">
        <f aca="false">IF(I10="","",H10*I10)</f>
        <v>21.48</v>
      </c>
      <c r="L10" s="5" t="n">
        <f aca="false">IF(J10="","",H10*J10)</f>
        <v>22.61</v>
      </c>
      <c r="M10" s="4" t="s">
        <v>12</v>
      </c>
      <c r="N10" s="4" t="s">
        <v>12</v>
      </c>
      <c r="O10" s="15" t="s">
        <v>86</v>
      </c>
      <c r="P10" s="4" t="s">
        <v>69</v>
      </c>
      <c r="Q10" s="4" t="s">
        <v>65</v>
      </c>
      <c r="R10" s="4" t="s">
        <v>87</v>
      </c>
    </row>
    <row r="11" customFormat="false" ht="15" hidden="false" customHeight="false" outlineLevel="0" collapsed="false">
      <c r="A11" s="4" t="n">
        <v>7</v>
      </c>
      <c r="B11" s="4" t="s">
        <v>88</v>
      </c>
      <c r="C11" s="4" t="s">
        <v>58</v>
      </c>
      <c r="D11" s="4" t="s">
        <v>59</v>
      </c>
      <c r="E11" s="4" t="s">
        <v>60</v>
      </c>
      <c r="F11" s="4" t="s">
        <v>61</v>
      </c>
      <c r="G11" s="13" t="s">
        <v>62</v>
      </c>
      <c r="H11" s="14" t="n">
        <v>1</v>
      </c>
      <c r="I11" s="6" t="n">
        <v>5.79</v>
      </c>
      <c r="J11" s="6" t="n">
        <v>6.09</v>
      </c>
      <c r="K11" s="5" t="n">
        <f aca="false">IF(I11="","",H11*I11)</f>
        <v>5.79</v>
      </c>
      <c r="L11" s="5" t="n">
        <f aca="false">IF(J11="","",H11*J11)</f>
        <v>6.09</v>
      </c>
      <c r="M11" s="4" t="s">
        <v>12</v>
      </c>
      <c r="N11" s="4" t="s">
        <v>12</v>
      </c>
      <c r="O11" s="15" t="s">
        <v>89</v>
      </c>
      <c r="P11" s="4" t="s">
        <v>69</v>
      </c>
      <c r="Q11" s="4" t="s">
        <v>65</v>
      </c>
      <c r="R11" s="4" t="s">
        <v>90</v>
      </c>
    </row>
    <row r="12" customFormat="false" ht="15" hidden="false" customHeight="false" outlineLevel="0" collapsed="false">
      <c r="A12" s="4" t="n">
        <v>8</v>
      </c>
      <c r="B12" s="4" t="s">
        <v>91</v>
      </c>
      <c r="C12" s="4" t="s">
        <v>58</v>
      </c>
      <c r="D12" s="4" t="s">
        <v>59</v>
      </c>
      <c r="E12" s="4" t="s">
        <v>60</v>
      </c>
      <c r="F12" s="4" t="s">
        <v>61</v>
      </c>
      <c r="G12" s="13" t="s">
        <v>62</v>
      </c>
      <c r="H12" s="14" t="n">
        <v>1</v>
      </c>
      <c r="I12" s="6" t="n">
        <v>5.79</v>
      </c>
      <c r="J12" s="6" t="n">
        <v>6.09</v>
      </c>
      <c r="K12" s="5" t="n">
        <f aca="false">IF(I12="","",H12*I12)</f>
        <v>5.79</v>
      </c>
      <c r="L12" s="5" t="n">
        <f aca="false">IF(J12="","",H12*J12)</f>
        <v>6.09</v>
      </c>
      <c r="M12" s="4" t="s">
        <v>12</v>
      </c>
      <c r="N12" s="4" t="s">
        <v>12</v>
      </c>
      <c r="O12" s="15" t="s">
        <v>92</v>
      </c>
      <c r="P12" s="4" t="s">
        <v>69</v>
      </c>
      <c r="Q12" s="4" t="s">
        <v>65</v>
      </c>
      <c r="R12" s="4" t="s">
        <v>93</v>
      </c>
    </row>
    <row r="13" customFormat="false" ht="15" hidden="false" customHeight="false" outlineLevel="0" collapsed="false">
      <c r="A13" s="4" t="n">
        <v>9</v>
      </c>
      <c r="B13" s="4" t="s">
        <v>94</v>
      </c>
      <c r="C13" s="4" t="s">
        <v>95</v>
      </c>
      <c r="D13" s="4" t="s">
        <v>59</v>
      </c>
      <c r="E13" s="4" t="s">
        <v>60</v>
      </c>
      <c r="F13" s="4" t="s">
        <v>61</v>
      </c>
      <c r="G13" s="13" t="s">
        <v>62</v>
      </c>
      <c r="H13" s="14" t="n">
        <v>1</v>
      </c>
      <c r="I13" s="6" t="n">
        <v>1.94</v>
      </c>
      <c r="J13" s="6" t="n">
        <v>2.04</v>
      </c>
      <c r="K13" s="5" t="n">
        <f aca="false">IF(I13="","",H13*I13)</f>
        <v>1.94</v>
      </c>
      <c r="L13" s="5" t="n">
        <f aca="false">IF(J13="","",H13*J13)</f>
        <v>2.04</v>
      </c>
      <c r="M13" s="4" t="s">
        <v>12</v>
      </c>
      <c r="N13" s="4" t="s">
        <v>12</v>
      </c>
      <c r="O13" s="15" t="s">
        <v>96</v>
      </c>
      <c r="P13" s="4" t="s">
        <v>69</v>
      </c>
      <c r="Q13" s="4" t="s">
        <v>65</v>
      </c>
      <c r="R13" s="4" t="s">
        <v>97</v>
      </c>
    </row>
    <row r="14" customFormat="false" ht="24.05" hidden="false" customHeight="false" outlineLevel="0" collapsed="false">
      <c r="A14" s="4" t="n">
        <v>10</v>
      </c>
      <c r="B14" s="4" t="s">
        <v>98</v>
      </c>
      <c r="C14" s="4" t="s">
        <v>99</v>
      </c>
      <c r="D14" s="4" t="s">
        <v>100</v>
      </c>
      <c r="E14" s="4" t="s">
        <v>85</v>
      </c>
      <c r="F14" s="4" t="s">
        <v>61</v>
      </c>
      <c r="G14" s="13" t="s">
        <v>62</v>
      </c>
      <c r="H14" s="14" t="n">
        <v>1</v>
      </c>
      <c r="I14" s="6" t="n">
        <v>64.84</v>
      </c>
      <c r="J14" s="6" t="n">
        <v>64.84</v>
      </c>
      <c r="K14" s="5" t="n">
        <f aca="false">IF(I14="","",H14*I14)</f>
        <v>64.84</v>
      </c>
      <c r="L14" s="5" t="n">
        <f aca="false">IF(J14="","",H14*J14)</f>
        <v>64.84</v>
      </c>
      <c r="M14" s="4" t="s">
        <v>16</v>
      </c>
      <c r="N14" s="4" t="s">
        <v>101</v>
      </c>
      <c r="O14" s="15" t="s">
        <v>102</v>
      </c>
      <c r="P14" s="4" t="s">
        <v>103</v>
      </c>
      <c r="Q14" s="4" t="s">
        <v>104</v>
      </c>
      <c r="R14" s="4" t="s">
        <v>105</v>
      </c>
    </row>
    <row r="15" customFormat="false" ht="24.05" hidden="false" customHeight="false" outlineLevel="0" collapsed="false">
      <c r="A15" s="4" t="n">
        <v>11</v>
      </c>
      <c r="B15" s="4" t="s">
        <v>106</v>
      </c>
      <c r="C15" s="4" t="s">
        <v>95</v>
      </c>
      <c r="D15" s="4" t="s">
        <v>59</v>
      </c>
      <c r="E15" s="4" t="s">
        <v>60</v>
      </c>
      <c r="F15" s="4" t="s">
        <v>61</v>
      </c>
      <c r="G15" s="13" t="s">
        <v>62</v>
      </c>
      <c r="H15" s="14" t="n">
        <v>1</v>
      </c>
      <c r="I15" s="6" t="n">
        <v>95</v>
      </c>
      <c r="J15" s="6" t="n">
        <v>95</v>
      </c>
      <c r="K15" s="5" t="n">
        <f aca="false">IF(I15="","",H15*I15)</f>
        <v>95</v>
      </c>
      <c r="L15" s="5" t="n">
        <f aca="false">IF(J15="","",H15*J15)</f>
        <v>95</v>
      </c>
      <c r="M15" s="4" t="s">
        <v>16</v>
      </c>
      <c r="N15" s="4" t="s">
        <v>107</v>
      </c>
      <c r="O15" s="15" t="s">
        <v>108</v>
      </c>
      <c r="P15" s="4" t="s">
        <v>109</v>
      </c>
      <c r="Q15" s="4" t="s">
        <v>104</v>
      </c>
      <c r="R15" s="4" t="s">
        <v>110</v>
      </c>
    </row>
    <row r="16" customFormat="false" ht="24.05" hidden="false" customHeight="false" outlineLevel="0" collapsed="false">
      <c r="A16" s="4" t="n">
        <v>12</v>
      </c>
      <c r="B16" s="4" t="s">
        <v>111</v>
      </c>
      <c r="C16" s="4" t="s">
        <v>112</v>
      </c>
      <c r="D16" s="4" t="s">
        <v>113</v>
      </c>
      <c r="E16" s="4" t="s">
        <v>60</v>
      </c>
      <c r="F16" s="4" t="s">
        <v>61</v>
      </c>
      <c r="G16" s="13" t="s">
        <v>62</v>
      </c>
      <c r="H16" s="14" t="n">
        <v>1</v>
      </c>
      <c r="I16" s="6" t="n">
        <v>18.72</v>
      </c>
      <c r="J16" s="6" t="n">
        <v>18.72</v>
      </c>
      <c r="K16" s="5" t="n">
        <f aca="false">IF(I16="","",H16*I16)</f>
        <v>18.72</v>
      </c>
      <c r="L16" s="5" t="n">
        <f aca="false">IF(J16="","",H16*J16)</f>
        <v>18.72</v>
      </c>
      <c r="M16" s="4" t="s">
        <v>16</v>
      </c>
      <c r="N16" s="4" t="s">
        <v>101</v>
      </c>
      <c r="O16" s="15" t="s">
        <v>114</v>
      </c>
      <c r="P16" s="4" t="s">
        <v>115</v>
      </c>
      <c r="Q16" s="4" t="s">
        <v>104</v>
      </c>
      <c r="R16" s="4" t="s">
        <v>116</v>
      </c>
    </row>
    <row r="17" customFormat="false" ht="24.05" hidden="false" customHeight="false" outlineLevel="0" collapsed="false">
      <c r="A17" s="4" t="n">
        <v>13</v>
      </c>
      <c r="B17" s="4" t="s">
        <v>117</v>
      </c>
      <c r="C17" s="4" t="s">
        <v>95</v>
      </c>
      <c r="D17" s="4" t="s">
        <v>59</v>
      </c>
      <c r="E17" s="4" t="s">
        <v>60</v>
      </c>
      <c r="F17" s="4" t="s">
        <v>61</v>
      </c>
      <c r="G17" s="13" t="s">
        <v>62</v>
      </c>
      <c r="H17" s="14" t="n">
        <v>1</v>
      </c>
      <c r="I17" s="6" t="n">
        <v>67.93</v>
      </c>
      <c r="J17" s="6" t="n">
        <v>78.99</v>
      </c>
      <c r="K17" s="5" t="n">
        <f aca="false">IF(I17="","",H17*I17)</f>
        <v>67.93</v>
      </c>
      <c r="L17" s="5" t="n">
        <f aca="false">IF(J17="","",H17*J17)</f>
        <v>78.99</v>
      </c>
      <c r="M17" s="4" t="s">
        <v>20</v>
      </c>
      <c r="N17" s="4" t="s">
        <v>118</v>
      </c>
      <c r="O17" s="15" t="s">
        <v>119</v>
      </c>
      <c r="P17" s="4" t="s">
        <v>120</v>
      </c>
      <c r="Q17" s="4" t="s">
        <v>104</v>
      </c>
      <c r="R17" s="4" t="s">
        <v>121</v>
      </c>
    </row>
    <row r="18" customFormat="false" ht="24.05" hidden="false" customHeight="false" outlineLevel="0" collapsed="false">
      <c r="A18" s="4" t="n">
        <v>14</v>
      </c>
      <c r="B18" s="4" t="s">
        <v>122</v>
      </c>
      <c r="C18" s="4" t="s">
        <v>95</v>
      </c>
      <c r="D18" s="4" t="s">
        <v>123</v>
      </c>
      <c r="E18" s="4" t="s">
        <v>60</v>
      </c>
      <c r="F18" s="4" t="s">
        <v>61</v>
      </c>
      <c r="G18" s="13" t="s">
        <v>62</v>
      </c>
      <c r="H18" s="14" t="n">
        <v>1</v>
      </c>
      <c r="I18" s="6" t="n">
        <v>30.74</v>
      </c>
      <c r="J18" s="6" t="n">
        <v>30.74</v>
      </c>
      <c r="K18" s="5" t="n">
        <f aca="false">IF(I18="","",H18*I18)</f>
        <v>30.74</v>
      </c>
      <c r="L18" s="5" t="n">
        <f aca="false">IF(J18="","",H18*J18)</f>
        <v>30.74</v>
      </c>
      <c r="M18" s="4" t="s">
        <v>20</v>
      </c>
      <c r="N18" s="4" t="s">
        <v>124</v>
      </c>
      <c r="O18" s="15" t="s">
        <v>125</v>
      </c>
      <c r="P18" s="4" t="s">
        <v>126</v>
      </c>
      <c r="Q18" s="4" t="s">
        <v>104</v>
      </c>
      <c r="R18" s="4" t="s">
        <v>127</v>
      </c>
    </row>
    <row r="19" customFormat="false" ht="24.05" hidden="false" customHeight="false" outlineLevel="0" collapsed="false">
      <c r="A19" s="4" t="n">
        <v>15</v>
      </c>
      <c r="B19" s="4" t="s">
        <v>128</v>
      </c>
      <c r="C19" s="4" t="s">
        <v>112</v>
      </c>
      <c r="D19" s="4" t="s">
        <v>129</v>
      </c>
      <c r="E19" s="4" t="s">
        <v>60</v>
      </c>
      <c r="F19" s="4" t="s">
        <v>61</v>
      </c>
      <c r="G19" s="13" t="s">
        <v>62</v>
      </c>
      <c r="H19" s="14" t="n">
        <v>1</v>
      </c>
      <c r="I19" s="6" t="n">
        <v>89.9</v>
      </c>
      <c r="J19" s="6" t="n">
        <v>97.09</v>
      </c>
      <c r="K19" s="5" t="n">
        <f aca="false">IF(I19="","",H19*I19)</f>
        <v>89.9</v>
      </c>
      <c r="L19" s="5" t="n">
        <f aca="false">IF(J19="","",H19*J19)</f>
        <v>97.09</v>
      </c>
      <c r="M19" s="4" t="s">
        <v>24</v>
      </c>
      <c r="N19" s="4" t="s">
        <v>24</v>
      </c>
      <c r="O19" s="15" t="s">
        <v>130</v>
      </c>
      <c r="P19" s="4" t="s">
        <v>131</v>
      </c>
      <c r="Q19" s="4" t="s">
        <v>132</v>
      </c>
      <c r="R19" s="4" t="s">
        <v>133</v>
      </c>
    </row>
    <row r="20" customFormat="false" ht="24.05" hidden="false" customHeight="false" outlineLevel="0" collapsed="false">
      <c r="A20" s="4" t="n">
        <v>16</v>
      </c>
      <c r="B20" s="4" t="s">
        <v>134</v>
      </c>
      <c r="C20" s="4" t="s">
        <v>135</v>
      </c>
      <c r="D20" s="4" t="s">
        <v>136</v>
      </c>
      <c r="E20" s="4" t="s">
        <v>60</v>
      </c>
      <c r="F20" s="4" t="s">
        <v>137</v>
      </c>
      <c r="G20" s="13" t="s">
        <v>138</v>
      </c>
      <c r="H20" s="14" t="n">
        <v>1</v>
      </c>
      <c r="I20" s="6" t="n">
        <v>23.9</v>
      </c>
      <c r="J20" s="6" t="n">
        <v>23.9</v>
      </c>
      <c r="K20" s="5" t="n">
        <f aca="false">IF(I20="","",H20*I20)</f>
        <v>23.9</v>
      </c>
      <c r="L20" s="5" t="n">
        <f aca="false">IF(J20="","",H20*J20)</f>
        <v>23.9</v>
      </c>
      <c r="M20" s="4" t="s">
        <v>16</v>
      </c>
      <c r="N20" s="4" t="s">
        <v>139</v>
      </c>
      <c r="O20" s="15" t="s">
        <v>140</v>
      </c>
      <c r="P20" s="4" t="s">
        <v>141</v>
      </c>
      <c r="Q20" s="4" t="s">
        <v>104</v>
      </c>
      <c r="R20" s="4" t="s">
        <v>142</v>
      </c>
    </row>
    <row r="21" customFormat="false" ht="24.05" hidden="false" customHeight="false" outlineLevel="0" collapsed="false">
      <c r="A21" s="4" t="n">
        <v>17</v>
      </c>
      <c r="B21" s="4" t="s">
        <v>143</v>
      </c>
      <c r="C21" s="4" t="s">
        <v>72</v>
      </c>
      <c r="D21" s="4" t="s">
        <v>73</v>
      </c>
      <c r="E21" s="4" t="s">
        <v>144</v>
      </c>
      <c r="F21" s="4" t="s">
        <v>144</v>
      </c>
      <c r="G21" s="13" t="s">
        <v>138</v>
      </c>
      <c r="H21" s="14" t="n">
        <v>1</v>
      </c>
      <c r="I21" s="6" t="n">
        <v>44.49</v>
      </c>
      <c r="J21" s="6" t="n">
        <v>46.83</v>
      </c>
      <c r="K21" s="5" t="n">
        <f aca="false">IF(I21="","",H21*I21)</f>
        <v>44.49</v>
      </c>
      <c r="L21" s="5" t="n">
        <f aca="false">IF(J21="","",H21*J21)</f>
        <v>46.83</v>
      </c>
      <c r="M21" s="4" t="s">
        <v>12</v>
      </c>
      <c r="N21" s="4" t="s">
        <v>12</v>
      </c>
      <c r="O21" s="15" t="s">
        <v>145</v>
      </c>
      <c r="P21" s="4" t="s">
        <v>69</v>
      </c>
      <c r="Q21" s="4" t="s">
        <v>146</v>
      </c>
      <c r="R21" s="4" t="s">
        <v>147</v>
      </c>
    </row>
    <row r="22" customFormat="false" ht="24.05" hidden="false" customHeight="false" outlineLevel="0" collapsed="false">
      <c r="A22" s="4" t="n">
        <v>18</v>
      </c>
      <c r="B22" s="4" t="s">
        <v>148</v>
      </c>
      <c r="C22" s="4" t="s">
        <v>72</v>
      </c>
      <c r="D22" s="4" t="s">
        <v>73</v>
      </c>
      <c r="E22" s="4" t="s">
        <v>60</v>
      </c>
      <c r="F22" s="4" t="s">
        <v>149</v>
      </c>
      <c r="G22" s="13" t="s">
        <v>138</v>
      </c>
      <c r="H22" s="14" t="n">
        <v>1</v>
      </c>
      <c r="I22" s="6" t="n">
        <v>34.87</v>
      </c>
      <c r="J22" s="6" t="n">
        <v>36.7</v>
      </c>
      <c r="K22" s="5" t="n">
        <f aca="false">IF(I22="","",H22*I22)</f>
        <v>34.87</v>
      </c>
      <c r="L22" s="5" t="n">
        <f aca="false">IF(J22="","",H22*J22)</f>
        <v>36.7</v>
      </c>
      <c r="M22" s="4" t="s">
        <v>12</v>
      </c>
      <c r="N22" s="4" t="s">
        <v>12</v>
      </c>
      <c r="O22" s="15" t="s">
        <v>150</v>
      </c>
      <c r="P22" s="4" t="s">
        <v>69</v>
      </c>
      <c r="Q22" s="4" t="s">
        <v>151</v>
      </c>
      <c r="R22" s="4" t="s">
        <v>152</v>
      </c>
    </row>
    <row r="23" customFormat="false" ht="15" hidden="false" customHeight="false" outlineLevel="0" collapsed="false">
      <c r="A23" s="4" t="n">
        <v>19</v>
      </c>
      <c r="B23" s="4" t="s">
        <v>153</v>
      </c>
      <c r="C23" s="4" t="s">
        <v>72</v>
      </c>
      <c r="D23" s="4" t="s">
        <v>73</v>
      </c>
      <c r="E23" s="4" t="s">
        <v>85</v>
      </c>
      <c r="F23" s="4" t="s">
        <v>149</v>
      </c>
      <c r="G23" s="13" t="s">
        <v>138</v>
      </c>
      <c r="H23" s="14" t="n">
        <v>1</v>
      </c>
      <c r="I23" s="6" t="n">
        <v>24.87</v>
      </c>
      <c r="J23" s="6" t="n">
        <v>24.87</v>
      </c>
      <c r="K23" s="5" t="n">
        <f aca="false">IF(I23="","",H23*I23)</f>
        <v>24.87</v>
      </c>
      <c r="L23" s="5" t="n">
        <f aca="false">IF(J23="","",H23*J23)</f>
        <v>24.87</v>
      </c>
      <c r="M23" s="4" t="s">
        <v>28</v>
      </c>
      <c r="N23" s="4" t="s">
        <v>154</v>
      </c>
      <c r="O23" s="15" t="s">
        <v>155</v>
      </c>
      <c r="P23" s="4" t="s">
        <v>156</v>
      </c>
      <c r="Q23" s="4" t="s">
        <v>151</v>
      </c>
      <c r="R23" s="4" t="s">
        <v>157</v>
      </c>
    </row>
    <row r="24" customFormat="false" ht="15" hidden="false" customHeight="false" outlineLevel="0" collapsed="false">
      <c r="A24" s="4" t="n">
        <v>20</v>
      </c>
      <c r="B24" s="4" t="s">
        <v>158</v>
      </c>
      <c r="C24" s="4" t="s">
        <v>99</v>
      </c>
      <c r="D24" s="4" t="s">
        <v>100</v>
      </c>
      <c r="E24" s="4" t="s">
        <v>159</v>
      </c>
      <c r="F24" s="4" t="s">
        <v>159</v>
      </c>
      <c r="G24" s="13" t="s">
        <v>138</v>
      </c>
      <c r="H24" s="14" t="n">
        <v>1</v>
      </c>
      <c r="I24" s="6" t="n">
        <v>34.58</v>
      </c>
      <c r="J24" s="6" t="n">
        <v>36.4</v>
      </c>
      <c r="K24" s="5" t="n">
        <f aca="false">IF(I24="","",H24*I24)</f>
        <v>34.58</v>
      </c>
      <c r="L24" s="5" t="n">
        <f aca="false">IF(J24="","",H24*J24)</f>
        <v>36.4</v>
      </c>
      <c r="M24" s="4" t="s">
        <v>12</v>
      </c>
      <c r="N24" s="4" t="s">
        <v>12</v>
      </c>
      <c r="O24" s="15" t="s">
        <v>160</v>
      </c>
      <c r="P24" s="4" t="s">
        <v>69</v>
      </c>
      <c r="Q24" s="4" t="s">
        <v>151</v>
      </c>
      <c r="R24" s="4" t="s">
        <v>161</v>
      </c>
    </row>
    <row r="25" customFormat="false" ht="15" hidden="false" customHeight="false" outlineLevel="0" collapsed="false">
      <c r="A25" s="4" t="n">
        <v>21</v>
      </c>
      <c r="B25" s="4" t="s">
        <v>162</v>
      </c>
      <c r="C25" s="4" t="s">
        <v>72</v>
      </c>
      <c r="D25" s="4" t="s">
        <v>73</v>
      </c>
      <c r="E25" s="4" t="s">
        <v>159</v>
      </c>
      <c r="F25" s="4" t="s">
        <v>159</v>
      </c>
      <c r="G25" s="13" t="s">
        <v>138</v>
      </c>
      <c r="H25" s="14" t="n">
        <v>1</v>
      </c>
      <c r="I25" s="6" t="n">
        <v>13.59</v>
      </c>
      <c r="J25" s="6" t="n">
        <v>14.3</v>
      </c>
      <c r="K25" s="5" t="n">
        <f aca="false">IF(I25="","",H25*I25)</f>
        <v>13.59</v>
      </c>
      <c r="L25" s="5" t="n">
        <f aca="false">IF(J25="","",H25*J25)</f>
        <v>14.3</v>
      </c>
      <c r="M25" s="4" t="s">
        <v>12</v>
      </c>
      <c r="N25" s="4" t="s">
        <v>12</v>
      </c>
      <c r="O25" s="15" t="s">
        <v>163</v>
      </c>
      <c r="P25" s="4" t="s">
        <v>69</v>
      </c>
      <c r="Q25" s="4" t="s">
        <v>151</v>
      </c>
      <c r="R25" s="4" t="s">
        <v>164</v>
      </c>
    </row>
    <row r="26" customFormat="false" ht="15" hidden="false" customHeight="false" outlineLevel="0" collapsed="false">
      <c r="A26" s="4" t="n">
        <v>22</v>
      </c>
      <c r="B26" s="4" t="s">
        <v>165</v>
      </c>
      <c r="C26" s="4" t="s">
        <v>95</v>
      </c>
      <c r="D26" s="4" t="s">
        <v>59</v>
      </c>
      <c r="E26" s="4" t="s">
        <v>159</v>
      </c>
      <c r="F26" s="4" t="s">
        <v>159</v>
      </c>
      <c r="G26" s="13" t="s">
        <v>138</v>
      </c>
      <c r="H26" s="14" t="n">
        <v>1</v>
      </c>
      <c r="I26" s="6" t="n">
        <v>7.55</v>
      </c>
      <c r="J26" s="6" t="n">
        <v>7.95</v>
      </c>
      <c r="K26" s="5" t="n">
        <f aca="false">IF(I26="","",H26*I26)</f>
        <v>7.55</v>
      </c>
      <c r="L26" s="5" t="n">
        <f aca="false">IF(J26="","",H26*J26)</f>
        <v>7.95</v>
      </c>
      <c r="M26" s="4" t="s">
        <v>12</v>
      </c>
      <c r="N26" s="4" t="s">
        <v>12</v>
      </c>
      <c r="O26" s="15" t="s">
        <v>166</v>
      </c>
      <c r="P26" s="4" t="s">
        <v>69</v>
      </c>
      <c r="Q26" s="4" t="s">
        <v>151</v>
      </c>
      <c r="R26" s="4" t="s">
        <v>167</v>
      </c>
    </row>
    <row r="27" customFormat="false" ht="24.05" hidden="false" customHeight="false" outlineLevel="0" collapsed="false">
      <c r="A27" s="4" t="n">
        <v>23</v>
      </c>
      <c r="B27" s="4" t="s">
        <v>168</v>
      </c>
      <c r="C27" s="4" t="s">
        <v>112</v>
      </c>
      <c r="D27" s="4" t="s">
        <v>113</v>
      </c>
      <c r="E27" s="4" t="s">
        <v>60</v>
      </c>
      <c r="F27" s="4" t="s">
        <v>169</v>
      </c>
      <c r="G27" s="13" t="s">
        <v>138</v>
      </c>
      <c r="H27" s="14" t="n">
        <v>1</v>
      </c>
      <c r="I27" s="6" t="n">
        <v>37.57</v>
      </c>
      <c r="J27" s="6" t="n">
        <v>37.57</v>
      </c>
      <c r="K27" s="5" t="n">
        <f aca="false">IF(I27="","",H27*I27)</f>
        <v>37.57</v>
      </c>
      <c r="L27" s="5" t="n">
        <f aca="false">IF(J27="","",H27*J27)</f>
        <v>37.57</v>
      </c>
      <c r="M27" s="4" t="s">
        <v>30</v>
      </c>
      <c r="N27" s="4" t="s">
        <v>30</v>
      </c>
      <c r="O27" s="15" t="s">
        <v>170</v>
      </c>
      <c r="P27" s="4" t="s">
        <v>171</v>
      </c>
      <c r="Q27" s="16" t="s">
        <v>172</v>
      </c>
      <c r="R27" s="4" t="s">
        <v>173</v>
      </c>
    </row>
    <row r="28" customFormat="false" ht="24.05" hidden="false" customHeight="false" outlineLevel="0" collapsed="false">
      <c r="A28" s="4" t="n">
        <v>24</v>
      </c>
      <c r="B28" s="4" t="s">
        <v>174</v>
      </c>
      <c r="C28" s="4" t="s">
        <v>112</v>
      </c>
      <c r="D28" s="4" t="s">
        <v>113</v>
      </c>
      <c r="E28" s="4" t="s">
        <v>60</v>
      </c>
      <c r="F28" s="4" t="s">
        <v>169</v>
      </c>
      <c r="G28" s="13" t="s">
        <v>138</v>
      </c>
      <c r="H28" s="14" t="n">
        <v>1</v>
      </c>
      <c r="I28" s="6" t="n">
        <v>8.69</v>
      </c>
      <c r="J28" s="6" t="n">
        <v>8.69</v>
      </c>
      <c r="K28" s="5" t="n">
        <f aca="false">IF(I28="","",H28*I28)</f>
        <v>8.69</v>
      </c>
      <c r="L28" s="5" t="n">
        <f aca="false">IF(J28="","",H28*J28)</f>
        <v>8.69</v>
      </c>
      <c r="M28" s="4" t="s">
        <v>20</v>
      </c>
      <c r="N28" s="4" t="s">
        <v>171</v>
      </c>
      <c r="O28" s="15" t="s">
        <v>175</v>
      </c>
      <c r="P28" s="4" t="s">
        <v>171</v>
      </c>
      <c r="Q28" s="16" t="s">
        <v>172</v>
      </c>
      <c r="R28" s="4" t="s">
        <v>176</v>
      </c>
    </row>
    <row r="29" customFormat="false" ht="24.05" hidden="false" customHeight="false" outlineLevel="0" collapsed="false">
      <c r="A29" s="4" t="n">
        <v>25</v>
      </c>
      <c r="B29" s="4" t="s">
        <v>177</v>
      </c>
      <c r="C29" s="4" t="s">
        <v>178</v>
      </c>
      <c r="D29" s="4" t="s">
        <v>100</v>
      </c>
      <c r="E29" s="4" t="s">
        <v>60</v>
      </c>
      <c r="F29" s="4" t="s">
        <v>169</v>
      </c>
      <c r="G29" s="13" t="s">
        <v>138</v>
      </c>
      <c r="H29" s="14" t="n">
        <v>1</v>
      </c>
      <c r="I29" s="6" t="n">
        <v>25.9</v>
      </c>
      <c r="J29" s="6" t="n">
        <v>25.9</v>
      </c>
      <c r="K29" s="5" t="n">
        <f aca="false">IF(I29="","",H29*I29)</f>
        <v>25.9</v>
      </c>
      <c r="L29" s="5" t="n">
        <f aca="false">IF(J29="","",H29*J29)</f>
        <v>25.9</v>
      </c>
      <c r="M29" s="4" t="s">
        <v>32</v>
      </c>
      <c r="N29" s="4" t="s">
        <v>171</v>
      </c>
      <c r="O29" s="15" t="s">
        <v>179</v>
      </c>
      <c r="P29" s="4" t="s">
        <v>171</v>
      </c>
      <c r="Q29" s="16" t="s">
        <v>172</v>
      </c>
      <c r="R29" s="4" t="s">
        <v>180</v>
      </c>
    </row>
    <row r="30" customFormat="false" ht="24.05" hidden="false" customHeight="false" outlineLevel="0" collapsed="false">
      <c r="A30" s="4" t="n">
        <v>26</v>
      </c>
      <c r="B30" s="4" t="s">
        <v>181</v>
      </c>
      <c r="C30" s="4" t="s">
        <v>135</v>
      </c>
      <c r="D30" s="4" t="s">
        <v>182</v>
      </c>
      <c r="E30" s="4" t="s">
        <v>60</v>
      </c>
      <c r="F30" s="4" t="s">
        <v>169</v>
      </c>
      <c r="G30" s="13" t="s">
        <v>138</v>
      </c>
      <c r="H30" s="14" t="n">
        <v>1</v>
      </c>
      <c r="I30" s="6" t="n">
        <v>8.19</v>
      </c>
      <c r="J30" s="6" t="n">
        <v>8.19</v>
      </c>
      <c r="K30" s="5" t="n">
        <f aca="false">IF(I30="","",H30*I30)</f>
        <v>8.19</v>
      </c>
      <c r="L30" s="5" t="n">
        <f aca="false">IF(J30="","",H30*J30)</f>
        <v>8.19</v>
      </c>
      <c r="M30" s="4" t="s">
        <v>20</v>
      </c>
      <c r="N30" s="4" t="s">
        <v>171</v>
      </c>
      <c r="O30" s="15" t="s">
        <v>183</v>
      </c>
      <c r="P30" s="4" t="s">
        <v>171</v>
      </c>
      <c r="Q30" s="16" t="s">
        <v>172</v>
      </c>
      <c r="R30" s="4" t="s">
        <v>184</v>
      </c>
    </row>
    <row r="31" customFormat="false" ht="24.05" hidden="false" customHeight="false" outlineLevel="0" collapsed="false">
      <c r="A31" s="4" t="n">
        <v>27</v>
      </c>
      <c r="B31" s="4" t="s">
        <v>185</v>
      </c>
      <c r="C31" s="4" t="s">
        <v>178</v>
      </c>
      <c r="D31" s="4" t="s">
        <v>100</v>
      </c>
      <c r="E31" s="4" t="s">
        <v>60</v>
      </c>
      <c r="F31" s="4" t="s">
        <v>169</v>
      </c>
      <c r="G31" s="13" t="s">
        <v>138</v>
      </c>
      <c r="H31" s="14" t="n">
        <v>1</v>
      </c>
      <c r="I31" s="6"/>
      <c r="J31" s="6"/>
      <c r="K31" s="5" t="str">
        <f aca="false">IF(I31="","",H31*I31)</f>
        <v/>
      </c>
      <c r="L31" s="5" t="str">
        <f aca="false">IF(J31="","",H31*J31)</f>
        <v/>
      </c>
      <c r="M31" s="4" t="s">
        <v>34</v>
      </c>
      <c r="N31" s="4" t="s">
        <v>171</v>
      </c>
      <c r="O31" s="15" t="s">
        <v>186</v>
      </c>
      <c r="P31" s="4" t="s">
        <v>171</v>
      </c>
      <c r="Q31" s="16" t="s">
        <v>187</v>
      </c>
      <c r="R31" s="4" t="s">
        <v>188</v>
      </c>
    </row>
    <row r="33" customFormat="false" ht="15" hidden="false" customHeight="false" outlineLevel="0" collapsed="false">
      <c r="B33" s="8" t="s">
        <v>189</v>
      </c>
      <c r="K33" s="17" t="n">
        <f aca="false">SUMIFS(K5:K31,G5:G31,"Sim")</f>
        <v>525.81</v>
      </c>
      <c r="L33" s="17" t="n">
        <f aca="false">SUMIFS(L5:L31,G5:G31,"Sim")</f>
        <v>552.38</v>
      </c>
    </row>
    <row r="34" customFormat="false" ht="15" hidden="false" customHeight="false" outlineLevel="0" collapsed="false">
      <c r="B34" s="11" t="s">
        <v>190</v>
      </c>
    </row>
  </sheetData>
  <autoFilter ref="A4:R31"/>
  <mergeCells count="1">
    <mergeCell ref="A2:P2"/>
  </mergeCells>
  <hyperlinks>
    <hyperlink ref="O5" r:id="rId1" display="https://www.usinainfo.com.br/esp32/esp32-wifi-e-bluetooth-com-usb-c-30-pinos-e-cp2102-9114.html"/>
    <hyperlink ref="O6" r:id="rId2" display="https://www.usinainfo.com.br/expansores-shields/expansor-para-esp32-devkit-v1-30-pinos-usb-c-e-micro-8795.html"/>
    <hyperlink ref="O7" r:id="rId3" display="https://www.usinainfo.com.br/servo-motores/micro-servo-motor-9g-sg90-180-16kgfcm-de-posicao-2299.html"/>
    <hyperlink ref="O8" r:id="rId4" display="https://www.usinainfo.com.br/sensor-de-vibracao/modulo-chave-fim-curso-sensor-de-impacto-para-projetos-4618.html"/>
    <hyperlink ref="O9" r:id="rId5" display="https://www.usinainfo.com.br/outros-modulos-arduino/semaforo-led-33v5v-8mm-s3-5466.html"/>
    <hyperlink ref="O10" r:id="rId6" display="https://www.usinainfo.com.br/imas-de-neodimio-e-acessorios-magneticos/ima-de-neodimio-n50-super-forte-10mm-x-4mm-kit-com-10-unidades-5012.html"/>
    <hyperlink ref="O11" r:id="rId7" display="https://www.usinainfo.com.br/jumper/jumper-premium-para-protoboard-femea-femea-20cm-kit-c-20-pecas-2612.html"/>
    <hyperlink ref="O12" r:id="rId8" display="https://www.usinainfo.com.br/jumper/jumper-premium-para-protoboard-macho-femea-20cm-kit-c-20-pecas-2314.html"/>
    <hyperlink ref="O13" r:id="rId9" display="https://www.usinainfo.com.br/capacitor-eletrolitico/capacitor-eletrolitico-1000uf-16v-3052.html"/>
    <hyperlink ref="O14" r:id="rId10" display="https://www.amazon.com.br/dp/B0GP6ZF16R"/>
    <hyperlink ref="O15" r:id="rId11" display="https://www.amazon.com.br/dp/B0DHVLRFGD"/>
    <hyperlink ref="O16" r:id="rId12" display="https://www.amazon.com.br/dp/B0GS5M3LC5"/>
    <hyperlink ref="O17" r:id="rId13" display="https://www.magazineluiza.com.br/adaptador-sem-fio-wireless-qi-inducao-receptor-universal-tipo-c-brasil-home/p/gkj66889f8/in/usba/"/>
    <hyperlink ref="O18" r:id="rId14" display="https://www.magazineluiza.com.br/carregador-por-inducao-15w-sem-fio-usb-acompanha-cabo-usb-c-le520-lelong/p/ke9dh49dk3/te/accp/"/>
    <hyperlink ref="O19" r:id="rId15" display="https://3dfila.com.br/produto/filamento-pla-preto/"/>
    <hyperlink ref="O20" r:id="rId16" display="https://www.amazon.com.br/dp/B0CKTK9HSJ"/>
    <hyperlink ref="O21" r:id="rId17" display="https://www.usinainfo.com.br/robotica-educacional/kit-de-molas-para-robotica-200-pecas-mola-de-compressao-e-extensao-para-projetos-diy-5160.html"/>
    <hyperlink ref="O22" r:id="rId18" display="https://www.usinainfo.com.br/servo-motores/micro-servo-9g-tower-pro-mg90s-180-22kgfcm-de-posicao-com-engrenagens-metalicas-3628.html"/>
    <hyperlink ref="O23" r:id="rId19" display="https://www.imadeneodimio.com/ima-de-neodimio-disco-20mm-x-10mm-n42"/>
    <hyperlink ref="O24" r:id="rId20" display="https://www.usinainfo.com.br/mini-fechadura-eletrica-solenoide/fechadura-eletrica-solenoide-12v-nf-compacta-fec-91-lingueta-superior-8073.html"/>
    <hyperlink ref="O25" r:id="rId21" display="https://www.usinainfo.com.br/rele-arduino/modulo-rele-3v-10a-1-canal-com-optoacoplador-para-esp32-5997.html"/>
    <hyperlink ref="O26" r:id="rId22" display="https://www.usinainfo.com.br/regulador-de-tensao/regulador-de-tensao-ajustavel-mt3608-step-up-saida-25v-a-28vdc-2a-4489.html"/>
    <hyperlink ref="O27" r:id="rId23" display="https://www.extra.com.br/p/1569921696"/>
    <hyperlink ref="O28" r:id="rId24" display="https://www.google.com/search?tbm=shop&amp;q=Super+Bonder+Power+Flex+Gel+2g"/>
    <hyperlink ref="O29" r:id="rId25" display="https://www.google.com/search?tbm=shop&amp;q=fita+antiderrapante+tesa+25mm+5m"/>
    <hyperlink ref="O30" r:id="rId26" display="https://www.google.com/search?tbm=shop&amp;q=papel+adesivo+A4+fosco+Masterprint"/>
    <hyperlink ref="O31" r:id="rId27" display="https://lista.mercadolivre.com.br/parafuso-m3-x-40m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30" hidden="false" customHeight="true" outlineLevel="0" collapsed="false">
      <c r="A4" s="3" t="s">
        <v>193</v>
      </c>
      <c r="B4" s="3" t="s">
        <v>194</v>
      </c>
      <c r="C4" s="3" t="s">
        <v>45</v>
      </c>
      <c r="D4" s="3" t="s">
        <v>46</v>
      </c>
      <c r="E4" s="3" t="s">
        <v>47</v>
      </c>
      <c r="F4" s="3" t="s">
        <v>50</v>
      </c>
      <c r="G4" s="3" t="s">
        <v>51</v>
      </c>
      <c r="H4" s="3" t="s">
        <v>2</v>
      </c>
      <c r="I4" s="3" t="s">
        <v>53</v>
      </c>
    </row>
    <row r="5" customFormat="false" ht="15" hidden="false" customHeight="false" outlineLevel="0" collapsed="false">
      <c r="A5" s="9" t="s">
        <v>178</v>
      </c>
      <c r="B5" s="9" t="s">
        <v>195</v>
      </c>
      <c r="C5" s="18"/>
      <c r="D5" s="18"/>
      <c r="E5" s="18"/>
      <c r="F5" s="10" t="n">
        <f aca="false">SUMIFS(Itens!$K$5:$K$31,Itens!$C$5:$C$31,A5,Itens!$G$5:$G$31,"Sim")</f>
        <v>0</v>
      </c>
      <c r="G5" s="10" t="n">
        <f aca="false">SUMIFS(Itens!$L$5:$L$31,Itens!$C$5:$C$31,A5,Itens!$G$5:$G$31,"Sim")</f>
        <v>0</v>
      </c>
      <c r="H5" s="18"/>
      <c r="I5" s="18"/>
    </row>
    <row r="6" customFormat="false" ht="15" hidden="false" customHeight="false" outlineLevel="0" collapsed="false">
      <c r="B6" s="19" t="str">
        <f aca="false">Itens!B29</f>
        <v>Fita antiderrapante preta 25 mm × 5 m (Tesa)</v>
      </c>
      <c r="C6" s="19" t="str">
        <f aca="false">Itens!F29</f>
        <v>Se não tiver</v>
      </c>
      <c r="D6" s="19" t="str">
        <f aca="false">Itens!G29</f>
        <v>Não</v>
      </c>
      <c r="E6" s="19" t="n">
        <f aca="false">Itens!H29</f>
        <v>1</v>
      </c>
      <c r="F6" s="20" t="n">
        <f aca="false">Itens!K29</f>
        <v>25.9</v>
      </c>
      <c r="G6" s="20" t="n">
        <f aca="false">Itens!L29</f>
        <v>25.9</v>
      </c>
      <c r="H6" s="19" t="str">
        <f aca="false">Itens!M29</f>
        <v>Loja do Mecânico</v>
      </c>
      <c r="I6" s="21" t="s">
        <v>179</v>
      </c>
    </row>
    <row r="7" customFormat="false" ht="15" hidden="false" customHeight="false" outlineLevel="0" collapsed="false">
      <c r="B7" s="19" t="str">
        <f aca="false">Itens!B31</f>
        <v>Parafuso M3 × 40 mm (ou 50 mm) com porca, pacote</v>
      </c>
      <c r="C7" s="19" t="str">
        <f aca="false">Itens!F31</f>
        <v>Se não tiver</v>
      </c>
      <c r="D7" s="19" t="str">
        <f aca="false">Itens!G31</f>
        <v>Não</v>
      </c>
      <c r="E7" s="19" t="n">
        <f aca="false">Itens!H31</f>
        <v>1</v>
      </c>
      <c r="F7" s="20" t="str">
        <f aca="false">Itens!K31</f>
        <v/>
      </c>
      <c r="G7" s="20" t="str">
        <f aca="false">Itens!L31</f>
        <v/>
      </c>
      <c r="H7" s="19" t="str">
        <f aca="false">Itens!M31</f>
        <v>Mercado Livre</v>
      </c>
      <c r="I7" s="21" t="s">
        <v>186</v>
      </c>
    </row>
    <row r="9" customFormat="false" ht="15" hidden="false" customHeight="false" outlineLevel="0" collapsed="false">
      <c r="A9" s="9" t="s">
        <v>99</v>
      </c>
      <c r="B9" s="9" t="s">
        <v>195</v>
      </c>
      <c r="C9" s="18"/>
      <c r="D9" s="18"/>
      <c r="E9" s="18"/>
      <c r="F9" s="10" t="n">
        <f aca="false">SUMIFS(Itens!$K$5:$K$31,Itens!$C$5:$C$31,A9,Itens!$G$5:$G$31,"Sim")</f>
        <v>64.84</v>
      </c>
      <c r="G9" s="10" t="n">
        <f aca="false">SUMIFS(Itens!$L$5:$L$31,Itens!$C$5:$C$31,A9,Itens!$G$5:$G$31,"Sim")</f>
        <v>64.84</v>
      </c>
      <c r="H9" s="18"/>
      <c r="I9" s="18"/>
    </row>
    <row r="10" customFormat="false" ht="15" hidden="false" customHeight="false" outlineLevel="0" collapsed="false">
      <c r="B10" s="19" t="str">
        <f aca="false">Itens!B14</f>
        <v>Etiqueta rígida antifurto com pino, pacote com 20</v>
      </c>
      <c r="C10" s="19" t="str">
        <f aca="false">Itens!F14</f>
        <v>Pedido</v>
      </c>
      <c r="D10" s="19" t="str">
        <f aca="false">Itens!G14</f>
        <v>Sim</v>
      </c>
      <c r="E10" s="19" t="n">
        <f aca="false">Itens!H14</f>
        <v>1</v>
      </c>
      <c r="F10" s="20" t="n">
        <f aca="false">Itens!K14</f>
        <v>64.84</v>
      </c>
      <c r="G10" s="20" t="n">
        <f aca="false">Itens!L14</f>
        <v>64.84</v>
      </c>
      <c r="H10" s="19" t="str">
        <f aca="false">Itens!M14</f>
        <v>Amazon</v>
      </c>
      <c r="I10" s="21" t="s">
        <v>102</v>
      </c>
    </row>
    <row r="11" customFormat="false" ht="15" hidden="false" customHeight="false" outlineLevel="0" collapsed="false">
      <c r="B11" s="19" t="str">
        <f aca="false">Itens!B24</f>
        <v>Fechadura elétrica solenoide FEC-91 12 V NF</v>
      </c>
      <c r="C11" s="19" t="str">
        <f aca="false">Itens!F24</f>
        <v>Alternativa</v>
      </c>
      <c r="D11" s="19" t="str">
        <f aca="false">Itens!G24</f>
        <v>Não</v>
      </c>
      <c r="E11" s="19" t="n">
        <f aca="false">Itens!H24</f>
        <v>1</v>
      </c>
      <c r="F11" s="20" t="n">
        <f aca="false">Itens!K24</f>
        <v>34.58</v>
      </c>
      <c r="G11" s="20" t="n">
        <f aca="false">Itens!L24</f>
        <v>36.4</v>
      </c>
      <c r="H11" s="19" t="str">
        <f aca="false">Itens!M24</f>
        <v>Usinainfo</v>
      </c>
      <c r="I11" s="21" t="s">
        <v>160</v>
      </c>
    </row>
    <row r="13" customFormat="false" ht="15" hidden="false" customHeight="false" outlineLevel="0" collapsed="false">
      <c r="A13" s="9" t="s">
        <v>72</v>
      </c>
      <c r="B13" s="9" t="s">
        <v>195</v>
      </c>
      <c r="C13" s="18"/>
      <c r="D13" s="18"/>
      <c r="E13" s="18"/>
      <c r="F13" s="10" t="n">
        <f aca="false">SUMIFS(Itens!$K$5:$K$31,Itens!$C$5:$C$31,A13,Itens!$G$5:$G$31,"Sim")</f>
        <v>49.8</v>
      </c>
      <c r="G13" s="10" t="n">
        <f aca="false">SUMIFS(Itens!$L$5:$L$31,Itens!$C$5:$C$31,A13,Itens!$G$5:$G$31,"Sim")</f>
        <v>52.41</v>
      </c>
      <c r="H13" s="18"/>
      <c r="I13" s="18"/>
    </row>
    <row r="14" customFormat="false" ht="15" hidden="false" customHeight="false" outlineLevel="0" collapsed="false">
      <c r="B14" s="19" t="str">
        <f aca="false">Itens!B7</f>
        <v>Micro servo SG90 9 g, 180°</v>
      </c>
      <c r="C14" s="19" t="str">
        <f aca="false">Itens!F7</f>
        <v>Pedido</v>
      </c>
      <c r="D14" s="19" t="str">
        <f aca="false">Itens!G7</f>
        <v>Sim</v>
      </c>
      <c r="E14" s="19" t="n">
        <f aca="false">Itens!H7</f>
        <v>2</v>
      </c>
      <c r="F14" s="20" t="n">
        <f aca="false">Itens!K7</f>
        <v>28.32</v>
      </c>
      <c r="G14" s="20" t="n">
        <f aca="false">Itens!L7</f>
        <v>29.8</v>
      </c>
      <c r="H14" s="19" t="str">
        <f aca="false">Itens!M7</f>
        <v>Usinainfo</v>
      </c>
      <c r="I14" s="21" t="s">
        <v>74</v>
      </c>
    </row>
    <row r="15" customFormat="false" ht="15" hidden="false" customHeight="false" outlineLevel="0" collapsed="false">
      <c r="B15" s="19" t="str">
        <f aca="false">Itens!B10</f>
        <v>Ímã de neodímio N50 10 × 4 mm, kit com 10</v>
      </c>
      <c r="C15" s="19" t="str">
        <f aca="false">Itens!F10</f>
        <v>Pedido</v>
      </c>
      <c r="D15" s="19" t="str">
        <f aca="false">Itens!G10</f>
        <v>Sim</v>
      </c>
      <c r="E15" s="19" t="n">
        <f aca="false">Itens!H10</f>
        <v>1</v>
      </c>
      <c r="F15" s="20" t="n">
        <f aca="false">Itens!K10</f>
        <v>21.48</v>
      </c>
      <c r="G15" s="20" t="n">
        <f aca="false">Itens!L10</f>
        <v>22.61</v>
      </c>
      <c r="H15" s="19" t="str">
        <f aca="false">Itens!M10</f>
        <v>Usinainfo</v>
      </c>
      <c r="I15" s="21" t="s">
        <v>86</v>
      </c>
    </row>
    <row r="16" customFormat="false" ht="15" hidden="false" customHeight="false" outlineLevel="0" collapsed="false">
      <c r="B16" s="19" t="str">
        <f aca="false">Itens!B21</f>
        <v>Kit de molas de compressão e extensão, 200 peças</v>
      </c>
      <c r="C16" s="19" t="str">
        <f aca="false">Itens!F21</f>
        <v>Variante B</v>
      </c>
      <c r="D16" s="19" t="str">
        <f aca="false">Itens!G21</f>
        <v>Não</v>
      </c>
      <c r="E16" s="19" t="n">
        <f aca="false">Itens!H21</f>
        <v>1</v>
      </c>
      <c r="F16" s="20" t="n">
        <f aca="false">Itens!K21</f>
        <v>44.49</v>
      </c>
      <c r="G16" s="20" t="n">
        <f aca="false">Itens!L21</f>
        <v>46.83</v>
      </c>
      <c r="H16" s="19" t="str">
        <f aca="false">Itens!M21</f>
        <v>Usinainfo</v>
      </c>
      <c r="I16" s="21" t="s">
        <v>145</v>
      </c>
    </row>
    <row r="17" customFormat="false" ht="15" hidden="false" customHeight="false" outlineLevel="0" collapsed="false">
      <c r="B17" s="19" t="str">
        <f aca="false">Itens!B22</f>
        <v>Micro servo MG90S 9 g, engrenagens metálicas</v>
      </c>
      <c r="C17" s="19" t="str">
        <f aca="false">Itens!F22</f>
        <v>Reserva</v>
      </c>
      <c r="D17" s="19" t="str">
        <f aca="false">Itens!G22</f>
        <v>Não</v>
      </c>
      <c r="E17" s="19" t="n">
        <f aca="false">Itens!H22</f>
        <v>1</v>
      </c>
      <c r="F17" s="20" t="n">
        <f aca="false">Itens!K22</f>
        <v>34.87</v>
      </c>
      <c r="G17" s="20" t="n">
        <f aca="false">Itens!L22</f>
        <v>36.7</v>
      </c>
      <c r="H17" s="19" t="str">
        <f aca="false">Itens!M22</f>
        <v>Usinainfo</v>
      </c>
      <c r="I17" s="21" t="s">
        <v>150</v>
      </c>
    </row>
    <row r="18" customFormat="false" ht="15" hidden="false" customHeight="false" outlineLevel="0" collapsed="false">
      <c r="B18" s="19" t="str">
        <f aca="false">Itens!B23</f>
        <v>Ímã de neodímio N42 disco 20 × 10 mm</v>
      </c>
      <c r="C18" s="19" t="str">
        <f aca="false">Itens!F23</f>
        <v>Reserva</v>
      </c>
      <c r="D18" s="19" t="str">
        <f aca="false">Itens!G23</f>
        <v>Não</v>
      </c>
      <c r="E18" s="19" t="n">
        <f aca="false">Itens!H23</f>
        <v>1</v>
      </c>
      <c r="F18" s="20" t="n">
        <f aca="false">Itens!K23</f>
        <v>24.87</v>
      </c>
      <c r="G18" s="20" t="n">
        <f aca="false">Itens!L23</f>
        <v>24.87</v>
      </c>
      <c r="H18" s="19" t="str">
        <f aca="false">Itens!M23</f>
        <v>Ímã de Neodímio</v>
      </c>
      <c r="I18" s="21" t="s">
        <v>155</v>
      </c>
    </row>
    <row r="19" customFormat="false" ht="15" hidden="false" customHeight="false" outlineLevel="0" collapsed="false">
      <c r="B19" s="19" t="str">
        <f aca="false">Itens!B25</f>
        <v>Módulo relé 3,3 V 10 A, 1 canal, com optoacoplador</v>
      </c>
      <c r="C19" s="19" t="str">
        <f aca="false">Itens!F25</f>
        <v>Alternativa</v>
      </c>
      <c r="D19" s="19" t="str">
        <f aca="false">Itens!G25</f>
        <v>Não</v>
      </c>
      <c r="E19" s="19" t="n">
        <f aca="false">Itens!H25</f>
        <v>1</v>
      </c>
      <c r="F19" s="20" t="n">
        <f aca="false">Itens!K25</f>
        <v>13.59</v>
      </c>
      <c r="G19" s="20" t="n">
        <f aca="false">Itens!L25</f>
        <v>14.3</v>
      </c>
      <c r="H19" s="19" t="str">
        <f aca="false">Itens!M25</f>
        <v>Usinainfo</v>
      </c>
      <c r="I19" s="21" t="s">
        <v>163</v>
      </c>
    </row>
    <row r="21" customFormat="false" ht="15" hidden="false" customHeight="false" outlineLevel="0" collapsed="false">
      <c r="A21" s="9" t="s">
        <v>135</v>
      </c>
      <c r="B21" s="9" t="s">
        <v>195</v>
      </c>
      <c r="C21" s="18"/>
      <c r="D21" s="18"/>
      <c r="E21" s="18"/>
      <c r="F21" s="10" t="n">
        <f aca="false">SUMIFS(Itens!$K$5:$K$31,Itens!$C$5:$C$31,A21,Itens!$G$5:$G$31,"Sim")</f>
        <v>0</v>
      </c>
      <c r="G21" s="10" t="n">
        <f aca="false">SUMIFS(Itens!$L$5:$L$31,Itens!$C$5:$C$31,A21,Itens!$G$5:$G$31,"Sim")</f>
        <v>0</v>
      </c>
      <c r="H21" s="18"/>
      <c r="I21" s="18"/>
    </row>
    <row r="22" customFormat="false" ht="15" hidden="false" customHeight="false" outlineLevel="0" collapsed="false">
      <c r="B22" s="19" t="str">
        <f aca="false">Itens!B20</f>
        <v>Etiqueta NFC NTAG215 regravável, kit com 10</v>
      </c>
      <c r="C22" s="19" t="str">
        <f aca="false">Itens!F20</f>
        <v>Opcional</v>
      </c>
      <c r="D22" s="19" t="str">
        <f aca="false">Itens!G20</f>
        <v>Não</v>
      </c>
      <c r="E22" s="19" t="n">
        <f aca="false">Itens!H20</f>
        <v>1</v>
      </c>
      <c r="F22" s="20" t="n">
        <f aca="false">Itens!K20</f>
        <v>23.9</v>
      </c>
      <c r="G22" s="20" t="n">
        <f aca="false">Itens!L20</f>
        <v>23.9</v>
      </c>
      <c r="H22" s="19" t="str">
        <f aca="false">Itens!M20</f>
        <v>Amazon</v>
      </c>
      <c r="I22" s="21" t="s">
        <v>140</v>
      </c>
    </row>
    <row r="23" customFormat="false" ht="15" hidden="false" customHeight="false" outlineLevel="0" collapsed="false">
      <c r="B23" s="19" t="str">
        <f aca="false">Itens!B30</f>
        <v>Papel adesivo A4 fosco 108 g, 20 folhas</v>
      </c>
      <c r="C23" s="19" t="str">
        <f aca="false">Itens!F30</f>
        <v>Se não tiver</v>
      </c>
      <c r="D23" s="19" t="str">
        <f aca="false">Itens!G30</f>
        <v>Não</v>
      </c>
      <c r="E23" s="19" t="n">
        <f aca="false">Itens!H30</f>
        <v>1</v>
      </c>
      <c r="F23" s="20" t="n">
        <f aca="false">Itens!K30</f>
        <v>8.19</v>
      </c>
      <c r="G23" s="20" t="n">
        <f aca="false">Itens!L30</f>
        <v>8.19</v>
      </c>
      <c r="H23" s="19" t="str">
        <f aca="false">Itens!M30</f>
        <v>Magazine Luiza</v>
      </c>
      <c r="I23" s="21" t="s">
        <v>183</v>
      </c>
    </row>
    <row r="25" customFormat="false" ht="15" hidden="false" customHeight="false" outlineLevel="0" collapsed="false">
      <c r="A25" s="9" t="s">
        <v>80</v>
      </c>
      <c r="B25" s="9" t="s">
        <v>195</v>
      </c>
      <c r="C25" s="18"/>
      <c r="D25" s="18"/>
      <c r="E25" s="18"/>
      <c r="F25" s="10" t="n">
        <f aca="false">SUMIFS(Itens!$K$5:$K$31,Itens!$C$5:$C$31,A25,Itens!$G$5:$G$31,"Sim")</f>
        <v>7.78</v>
      </c>
      <c r="G25" s="10" t="n">
        <f aca="false">SUMIFS(Itens!$L$5:$L$31,Itens!$C$5:$C$31,A25,Itens!$G$5:$G$31,"Sim")</f>
        <v>8.19</v>
      </c>
      <c r="H25" s="18"/>
      <c r="I25" s="18"/>
    </row>
    <row r="26" customFormat="false" ht="15" hidden="false" customHeight="false" outlineLevel="0" collapsed="false">
      <c r="B26" s="19" t="str">
        <f aca="false">Itens!B9</f>
        <v>Semáforo LED 3,3 V/5 V 8 mm (S3)</v>
      </c>
      <c r="C26" s="19" t="str">
        <f aca="false">Itens!F9</f>
        <v>Pedido</v>
      </c>
      <c r="D26" s="19" t="str">
        <f aca="false">Itens!G9</f>
        <v>Sim</v>
      </c>
      <c r="E26" s="19" t="n">
        <f aca="false">Itens!H9</f>
        <v>1</v>
      </c>
      <c r="F26" s="20" t="n">
        <f aca="false">Itens!K9</f>
        <v>7.78</v>
      </c>
      <c r="G26" s="20" t="n">
        <f aca="false">Itens!L9</f>
        <v>8.19</v>
      </c>
      <c r="H26" s="19" t="str">
        <f aca="false">Itens!M9</f>
        <v>Usinainfo</v>
      </c>
      <c r="I26" s="21" t="s">
        <v>82</v>
      </c>
    </row>
    <row r="28" customFormat="false" ht="15" hidden="false" customHeight="false" outlineLevel="0" collapsed="false">
      <c r="A28" s="9" t="s">
        <v>58</v>
      </c>
      <c r="B28" s="9" t="s">
        <v>195</v>
      </c>
      <c r="C28" s="18"/>
      <c r="D28" s="18"/>
      <c r="E28" s="18"/>
      <c r="F28" s="10" t="n">
        <f aca="false">SUMIFS(Itens!$K$5:$K$31,Itens!$C$5:$C$31,A28,Itens!$G$5:$G$31,"Sim")</f>
        <v>99.16</v>
      </c>
      <c r="G28" s="10" t="n">
        <f aca="false">SUMIFS(Itens!$L$5:$L$31,Itens!$C$5:$C$31,A28,Itens!$G$5:$G$31,"Sim")</f>
        <v>104.36</v>
      </c>
      <c r="H28" s="18"/>
      <c r="I28" s="18"/>
    </row>
    <row r="29" customFormat="false" ht="15" hidden="false" customHeight="false" outlineLevel="0" collapsed="false">
      <c r="B29" s="19" t="str">
        <f aca="false">Itens!B5</f>
        <v>Placa ESP32 DevKit V1 30 pinos, USB-C, CP2102</v>
      </c>
      <c r="C29" s="19" t="str">
        <f aca="false">Itens!F5</f>
        <v>Pedido</v>
      </c>
      <c r="D29" s="19" t="str">
        <f aca="false">Itens!G5</f>
        <v>Sim</v>
      </c>
      <c r="E29" s="19" t="n">
        <f aca="false">Itens!H5</f>
        <v>1</v>
      </c>
      <c r="F29" s="20" t="n">
        <f aca="false">Itens!K5</f>
        <v>56.81</v>
      </c>
      <c r="G29" s="20" t="n">
        <f aca="false">Itens!L5</f>
        <v>59.8</v>
      </c>
      <c r="H29" s="19" t="str">
        <f aca="false">Itens!M5</f>
        <v>Usinainfo</v>
      </c>
      <c r="I29" s="21" t="s">
        <v>63</v>
      </c>
    </row>
    <row r="30" customFormat="false" ht="24.05" hidden="false" customHeight="false" outlineLevel="0" collapsed="false">
      <c r="B30" s="19" t="str">
        <f aca="false">Itens!B6</f>
        <v>Expansor para ESP32 DevKit V1 30 pinos (USB-C e micro USB)</v>
      </c>
      <c r="C30" s="19" t="str">
        <f aca="false">Itens!F6</f>
        <v>Pedido</v>
      </c>
      <c r="D30" s="19" t="str">
        <f aca="false">Itens!G6</f>
        <v>Sim</v>
      </c>
      <c r="E30" s="19" t="n">
        <f aca="false">Itens!H6</f>
        <v>1</v>
      </c>
      <c r="F30" s="20" t="n">
        <f aca="false">Itens!K6</f>
        <v>21.19</v>
      </c>
      <c r="G30" s="20" t="n">
        <f aca="false">Itens!L6</f>
        <v>22.3</v>
      </c>
      <c r="H30" s="19" t="str">
        <f aca="false">Itens!M6</f>
        <v>Usinainfo</v>
      </c>
      <c r="I30" s="21" t="s">
        <v>68</v>
      </c>
    </row>
    <row r="31" customFormat="false" ht="15" hidden="false" customHeight="false" outlineLevel="0" collapsed="false">
      <c r="B31" s="19" t="str">
        <f aca="false">Itens!B8</f>
        <v>Módulo chave fim de curso</v>
      </c>
      <c r="C31" s="19" t="str">
        <f aca="false">Itens!F8</f>
        <v>Pedido</v>
      </c>
      <c r="D31" s="19" t="str">
        <f aca="false">Itens!G8</f>
        <v>Sim</v>
      </c>
      <c r="E31" s="19" t="n">
        <f aca="false">Itens!H8</f>
        <v>2</v>
      </c>
      <c r="F31" s="20" t="n">
        <f aca="false">Itens!K8</f>
        <v>9.58</v>
      </c>
      <c r="G31" s="20" t="n">
        <f aca="false">Itens!L8</f>
        <v>10.08</v>
      </c>
      <c r="H31" s="19" t="str">
        <f aca="false">Itens!M8</f>
        <v>Usinainfo</v>
      </c>
      <c r="I31" s="21" t="s">
        <v>77</v>
      </c>
    </row>
    <row r="32" customFormat="false" ht="15" hidden="false" customHeight="false" outlineLevel="0" collapsed="false">
      <c r="B32" s="19" t="str">
        <f aca="false">Itens!B11</f>
        <v>Jumper fêmea-fêmea 20 cm, kit com 20</v>
      </c>
      <c r="C32" s="19" t="str">
        <f aca="false">Itens!F11</f>
        <v>Pedido</v>
      </c>
      <c r="D32" s="19" t="str">
        <f aca="false">Itens!G11</f>
        <v>Sim</v>
      </c>
      <c r="E32" s="19" t="n">
        <f aca="false">Itens!H11</f>
        <v>1</v>
      </c>
      <c r="F32" s="20" t="n">
        <f aca="false">Itens!K11</f>
        <v>5.79</v>
      </c>
      <c r="G32" s="20" t="n">
        <f aca="false">Itens!L11</f>
        <v>6.09</v>
      </c>
      <c r="H32" s="19" t="str">
        <f aca="false">Itens!M11</f>
        <v>Usinainfo</v>
      </c>
      <c r="I32" s="21" t="s">
        <v>89</v>
      </c>
    </row>
    <row r="33" customFormat="false" ht="15" hidden="false" customHeight="false" outlineLevel="0" collapsed="false">
      <c r="B33" s="19" t="str">
        <f aca="false">Itens!B12</f>
        <v>Jumper macho-fêmea 20 cm, kit com 20</v>
      </c>
      <c r="C33" s="19" t="str">
        <f aca="false">Itens!F12</f>
        <v>Pedido</v>
      </c>
      <c r="D33" s="19" t="str">
        <f aca="false">Itens!G12</f>
        <v>Sim</v>
      </c>
      <c r="E33" s="19" t="n">
        <f aca="false">Itens!H12</f>
        <v>1</v>
      </c>
      <c r="F33" s="20" t="n">
        <f aca="false">Itens!K12</f>
        <v>5.79</v>
      </c>
      <c r="G33" s="20" t="n">
        <f aca="false">Itens!L12</f>
        <v>6.09</v>
      </c>
      <c r="H33" s="19" t="str">
        <f aca="false">Itens!M12</f>
        <v>Usinainfo</v>
      </c>
      <c r="I33" s="21" t="s">
        <v>92</v>
      </c>
    </row>
    <row r="35" customFormat="false" ht="15" hidden="false" customHeight="false" outlineLevel="0" collapsed="false">
      <c r="A35" s="9" t="s">
        <v>95</v>
      </c>
      <c r="B35" s="9" t="s">
        <v>195</v>
      </c>
      <c r="C35" s="18"/>
      <c r="D35" s="18"/>
      <c r="E35" s="18"/>
      <c r="F35" s="10" t="n">
        <f aca="false">SUMIFS(Itens!$K$5:$K$31,Itens!$C$5:$C$31,A35,Itens!$G$5:$G$31,"Sim")</f>
        <v>195.61</v>
      </c>
      <c r="G35" s="10" t="n">
        <f aca="false">SUMIFS(Itens!$L$5:$L$31,Itens!$C$5:$C$31,A35,Itens!$G$5:$G$31,"Sim")</f>
        <v>206.77</v>
      </c>
      <c r="H35" s="18"/>
      <c r="I35" s="18"/>
    </row>
    <row r="36" customFormat="false" ht="15" hidden="false" customHeight="false" outlineLevel="0" collapsed="false">
      <c r="B36" s="19" t="str">
        <f aca="false">Itens!B13</f>
        <v>Capacitor eletrolítico 1000 µF 16 V</v>
      </c>
      <c r="C36" s="19" t="str">
        <f aca="false">Itens!F13</f>
        <v>Pedido</v>
      </c>
      <c r="D36" s="19" t="str">
        <f aca="false">Itens!G13</f>
        <v>Sim</v>
      </c>
      <c r="E36" s="19" t="n">
        <f aca="false">Itens!H13</f>
        <v>1</v>
      </c>
      <c r="F36" s="20" t="n">
        <f aca="false">Itens!K13</f>
        <v>1.94</v>
      </c>
      <c r="G36" s="20" t="n">
        <f aca="false">Itens!L13</f>
        <v>2.04</v>
      </c>
      <c r="H36" s="19" t="str">
        <f aca="false">Itens!M13</f>
        <v>Usinainfo</v>
      </c>
      <c r="I36" s="21" t="s">
        <v>96</v>
      </c>
    </row>
    <row r="37" customFormat="false" ht="24.05" hidden="false" customHeight="false" outlineLevel="0" collapsed="false">
      <c r="B37" s="19" t="str">
        <f aca="false">Itens!B15</f>
        <v>Power bank Basike 10.000 mAh 22,5 W, com visor e cabos embutidos</v>
      </c>
      <c r="C37" s="19" t="str">
        <f aca="false">Itens!F15</f>
        <v>Pedido</v>
      </c>
      <c r="D37" s="19" t="str">
        <f aca="false">Itens!G15</f>
        <v>Sim</v>
      </c>
      <c r="E37" s="19" t="n">
        <f aca="false">Itens!H15</f>
        <v>1</v>
      </c>
      <c r="F37" s="20" t="n">
        <f aca="false">Itens!K15</f>
        <v>95</v>
      </c>
      <c r="G37" s="20" t="n">
        <f aca="false">Itens!L15</f>
        <v>95</v>
      </c>
      <c r="H37" s="19" t="str">
        <f aca="false">Itens!M15</f>
        <v>Amazon</v>
      </c>
      <c r="I37" s="21" t="s">
        <v>108</v>
      </c>
    </row>
    <row r="38" customFormat="false" ht="15" hidden="false" customHeight="false" outlineLevel="0" collapsed="false">
      <c r="B38" s="19" t="str">
        <f aca="false">Itens!B17</f>
        <v>Receptor de carga sem fio Qi universal, USB-C</v>
      </c>
      <c r="C38" s="19" t="str">
        <f aca="false">Itens!F17</f>
        <v>Pedido</v>
      </c>
      <c r="D38" s="19" t="str">
        <f aca="false">Itens!G17</f>
        <v>Sim</v>
      </c>
      <c r="E38" s="19" t="n">
        <f aca="false">Itens!H17</f>
        <v>1</v>
      </c>
      <c r="F38" s="20" t="n">
        <f aca="false">Itens!K17</f>
        <v>67.93</v>
      </c>
      <c r="G38" s="20" t="n">
        <f aca="false">Itens!L17</f>
        <v>78.99</v>
      </c>
      <c r="H38" s="19" t="str">
        <f aca="false">Itens!M17</f>
        <v>Magazine Luiza</v>
      </c>
      <c r="I38" s="21" t="s">
        <v>119</v>
      </c>
    </row>
    <row r="39" customFormat="false" ht="24.05" hidden="false" customHeight="false" outlineLevel="0" collapsed="false">
      <c r="B39" s="19" t="str">
        <f aca="false">Itens!B18</f>
        <v>Carregador por indução 15 W Lelong LE-520, com cabo USB-C</v>
      </c>
      <c r="C39" s="19" t="str">
        <f aca="false">Itens!F18</f>
        <v>Pedido</v>
      </c>
      <c r="D39" s="19" t="str">
        <f aca="false">Itens!G18</f>
        <v>Sim</v>
      </c>
      <c r="E39" s="19" t="n">
        <f aca="false">Itens!H18</f>
        <v>1</v>
      </c>
      <c r="F39" s="20" t="n">
        <f aca="false">Itens!K18</f>
        <v>30.74</v>
      </c>
      <c r="G39" s="20" t="n">
        <f aca="false">Itens!L18</f>
        <v>30.74</v>
      </c>
      <c r="H39" s="19" t="str">
        <f aca="false">Itens!M18</f>
        <v>Magazine Luiza</v>
      </c>
      <c r="I39" s="21" t="s">
        <v>125</v>
      </c>
    </row>
    <row r="40" customFormat="false" ht="15" hidden="false" customHeight="false" outlineLevel="0" collapsed="false">
      <c r="B40" s="19" t="str">
        <f aca="false">Itens!B26</f>
        <v>Regulador step-up MT3608 (2,5 V a 28 V, 2 A)</v>
      </c>
      <c r="C40" s="19" t="str">
        <f aca="false">Itens!F26</f>
        <v>Alternativa</v>
      </c>
      <c r="D40" s="19" t="str">
        <f aca="false">Itens!G26</f>
        <v>Não</v>
      </c>
      <c r="E40" s="19" t="n">
        <f aca="false">Itens!H26</f>
        <v>1</v>
      </c>
      <c r="F40" s="20" t="n">
        <f aca="false">Itens!K26</f>
        <v>7.55</v>
      </c>
      <c r="G40" s="20" t="n">
        <f aca="false">Itens!L26</f>
        <v>7.95</v>
      </c>
      <c r="H40" s="19" t="str">
        <f aca="false">Itens!M26</f>
        <v>Usinainfo</v>
      </c>
      <c r="I40" s="21" t="s">
        <v>166</v>
      </c>
    </row>
    <row r="42" customFormat="false" ht="15" hidden="false" customHeight="false" outlineLevel="0" collapsed="false">
      <c r="A42" s="9" t="s">
        <v>112</v>
      </c>
      <c r="B42" s="9" t="s">
        <v>195</v>
      </c>
      <c r="C42" s="18"/>
      <c r="D42" s="18"/>
      <c r="E42" s="18"/>
      <c r="F42" s="10" t="n">
        <f aca="false">SUMIFS(Itens!$K$5:$K$31,Itens!$C$5:$C$31,A42,Itens!$G$5:$G$31,"Sim")</f>
        <v>108.62</v>
      </c>
      <c r="G42" s="10" t="n">
        <f aca="false">SUMIFS(Itens!$L$5:$L$31,Itens!$C$5:$C$31,A42,Itens!$G$5:$G$31,"Sim")</f>
        <v>115.81</v>
      </c>
      <c r="H42" s="18"/>
      <c r="I42" s="18"/>
    </row>
    <row r="43" customFormat="false" ht="24.05" hidden="false" customHeight="false" outlineLevel="0" collapsed="false">
      <c r="B43" s="19" t="str">
        <f aca="false">Itens!B16</f>
        <v>Kit de parafusos inox M2 a M5 com porcas e arruelas, 120 peças</v>
      </c>
      <c r="C43" s="19" t="str">
        <f aca="false">Itens!F16</f>
        <v>Pedido</v>
      </c>
      <c r="D43" s="19" t="str">
        <f aca="false">Itens!G16</f>
        <v>Sim</v>
      </c>
      <c r="E43" s="19" t="n">
        <f aca="false">Itens!H16</f>
        <v>1</v>
      </c>
      <c r="F43" s="20" t="n">
        <f aca="false">Itens!K16</f>
        <v>18.72</v>
      </c>
      <c r="G43" s="20" t="n">
        <f aca="false">Itens!L16</f>
        <v>18.72</v>
      </c>
      <c r="H43" s="19" t="str">
        <f aca="false">Itens!M16</f>
        <v>Amazon</v>
      </c>
      <c r="I43" s="21" t="s">
        <v>114</v>
      </c>
    </row>
    <row r="44" customFormat="false" ht="15" hidden="false" customHeight="false" outlineLevel="0" collapsed="false">
      <c r="B44" s="19" t="str">
        <f aca="false">Itens!B19</f>
        <v>Filamento PLA preto 1,75 mm, 1 kg</v>
      </c>
      <c r="C44" s="19" t="str">
        <f aca="false">Itens!F19</f>
        <v>Pedido</v>
      </c>
      <c r="D44" s="19" t="str">
        <f aca="false">Itens!G19</f>
        <v>Sim</v>
      </c>
      <c r="E44" s="19" t="n">
        <f aca="false">Itens!H19</f>
        <v>1</v>
      </c>
      <c r="F44" s="20" t="n">
        <f aca="false">Itens!K19</f>
        <v>89.9</v>
      </c>
      <c r="G44" s="20" t="n">
        <f aca="false">Itens!L19</f>
        <v>97.09</v>
      </c>
      <c r="H44" s="19" t="str">
        <f aca="false">Itens!M19</f>
        <v>3D Fila</v>
      </c>
      <c r="I44" s="21" t="s">
        <v>130</v>
      </c>
    </row>
    <row r="45" customFormat="false" ht="24.05" hidden="false" customHeight="false" outlineLevel="0" collapsed="false">
      <c r="B45" s="19" t="str">
        <f aca="false">Itens!B27</f>
        <v>Fita dupla face de espuma 3M VHB transparente, 19 mm × 5 m</v>
      </c>
      <c r="C45" s="19" t="str">
        <f aca="false">Itens!F27</f>
        <v>Se não tiver</v>
      </c>
      <c r="D45" s="19" t="str">
        <f aca="false">Itens!G27</f>
        <v>Não</v>
      </c>
      <c r="E45" s="19" t="n">
        <f aca="false">Itens!H27</f>
        <v>1</v>
      </c>
      <c r="F45" s="20" t="n">
        <f aca="false">Itens!K27</f>
        <v>37.57</v>
      </c>
      <c r="G45" s="20" t="n">
        <f aca="false">Itens!L27</f>
        <v>37.57</v>
      </c>
      <c r="H45" s="19" t="str">
        <f aca="false">Itens!M27</f>
        <v>Extra</v>
      </c>
      <c r="I45" s="21" t="s">
        <v>170</v>
      </c>
    </row>
    <row r="46" customFormat="false" ht="15" hidden="false" customHeight="false" outlineLevel="0" collapsed="false">
      <c r="B46" s="19" t="str">
        <f aca="false">Itens!B28</f>
        <v>Cola instantânea em gel (Super Bonder Power Flex Gel 2 g)</v>
      </c>
      <c r="C46" s="19" t="str">
        <f aca="false">Itens!F28</f>
        <v>Se não tiver</v>
      </c>
      <c r="D46" s="19" t="str">
        <f aca="false">Itens!G28</f>
        <v>Não</v>
      </c>
      <c r="E46" s="19" t="n">
        <f aca="false">Itens!H28</f>
        <v>1</v>
      </c>
      <c r="F46" s="20" t="n">
        <f aca="false">Itens!K28</f>
        <v>8.69</v>
      </c>
      <c r="G46" s="20" t="n">
        <f aca="false">Itens!L28</f>
        <v>8.69</v>
      </c>
      <c r="H46" s="19" t="str">
        <f aca="false">Itens!M28</f>
        <v>Magazine Luiza</v>
      </c>
      <c r="I46" s="21" t="s">
        <v>175</v>
      </c>
    </row>
    <row r="48" customFormat="false" ht="15" hidden="false" customHeight="false" outlineLevel="0" collapsed="false">
      <c r="B48" s="8" t="s">
        <v>189</v>
      </c>
      <c r="F48" s="10" t="n">
        <f aca="false">SUMIFS(Itens!$K$5:$K$31,Itens!$G$5:$G$31,"Sim")</f>
        <v>525.81</v>
      </c>
      <c r="G48" s="10" t="n">
        <f aca="false">SUMIFS(Itens!$L$5:$L$31,Itens!$G$5:$G$31,"Sim")</f>
        <v>552.38</v>
      </c>
    </row>
  </sheetData>
  <hyperlinks>
    <hyperlink ref="I6" r:id="rId1" display="https://www.google.com/search?tbm=shop&amp;q=fita+antiderrapante+tesa+25mm+5m"/>
    <hyperlink ref="I7" r:id="rId2" display="https://lista.mercadolivre.com.br/parafuso-m3-x-40mm"/>
    <hyperlink ref="I10" r:id="rId3" display="https://www.amazon.com.br/dp/B0GP6ZF16R"/>
    <hyperlink ref="I11" r:id="rId4" display="https://www.usinainfo.com.br/mini-fechadura-eletrica-solenoide/fechadura-eletrica-solenoide-12v-nf-compacta-fec-91-lingueta-superior-8073.html"/>
    <hyperlink ref="I14" r:id="rId5" display="https://www.usinainfo.com.br/servo-motores/micro-servo-motor-9g-sg90-180-16kgfcm-de-posicao-2299.html"/>
    <hyperlink ref="I15" r:id="rId6" display="https://www.usinainfo.com.br/imas-de-neodimio-e-acessorios-magneticos/ima-de-neodimio-n50-super-forte-10mm-x-4mm-kit-com-10-unidades-5012.html"/>
    <hyperlink ref="I16" r:id="rId7" display="https://www.usinainfo.com.br/robotica-educacional/kit-de-molas-para-robotica-200-pecas-mola-de-compressao-e-extensao-para-projetos-diy-5160.html"/>
    <hyperlink ref="I17" r:id="rId8" display="https://www.usinainfo.com.br/servo-motores/micro-servo-9g-tower-pro-mg90s-180-22kgfcm-de-posicao-com-engrenagens-metalicas-3628.html"/>
    <hyperlink ref="I18" r:id="rId9" display="https://www.imadeneodimio.com/ima-de-neodimio-disco-20mm-x-10mm-n42"/>
    <hyperlink ref="I19" r:id="rId10" display="https://www.usinainfo.com.br/rele-arduino/modulo-rele-3v-10a-1-canal-com-optoacoplador-para-esp32-5997.html"/>
    <hyperlink ref="I22" r:id="rId11" display="https://www.amazon.com.br/dp/B0CKTK9HSJ"/>
    <hyperlink ref="I23" r:id="rId12" display="https://www.google.com/search?tbm=shop&amp;q=papel+adesivo+A4+fosco+Masterprint"/>
    <hyperlink ref="I26" r:id="rId13" display="https://www.usinainfo.com.br/outros-modulos-arduino/semaforo-led-33v5v-8mm-s3-5466.html"/>
    <hyperlink ref="I29" r:id="rId14" display="https://www.usinainfo.com.br/esp32/esp32-wifi-e-bluetooth-com-usb-c-30-pinos-e-cp2102-9114.html"/>
    <hyperlink ref="I30" r:id="rId15" display="https://www.usinainfo.com.br/expansores-shields/expansor-para-esp32-devkit-v1-30-pinos-usb-c-e-micro-8795.html"/>
    <hyperlink ref="I31" r:id="rId16" display="https://www.usinainfo.com.br/sensor-de-vibracao/modulo-chave-fim-curso-sensor-de-impacto-para-projetos-4618.html"/>
    <hyperlink ref="I32" r:id="rId17" display="https://www.usinainfo.com.br/jumper/jumper-premium-para-protoboard-femea-femea-20cm-kit-c-20-pecas-2612.html"/>
    <hyperlink ref="I33" r:id="rId18" display="https://www.usinainfo.com.br/jumper/jumper-premium-para-protoboard-macho-femea-20cm-kit-c-20-pecas-2314.html"/>
    <hyperlink ref="I36" r:id="rId19" display="https://www.usinainfo.com.br/capacitor-eletrolitico/capacitor-eletrolitico-1000uf-16v-3052.html"/>
    <hyperlink ref="I37" r:id="rId20" display="https://www.amazon.com.br/dp/B0DHVLRFGD"/>
    <hyperlink ref="I38" r:id="rId21" display="https://www.magazineluiza.com.br/adaptador-sem-fio-wireless-qi-inducao-receptor-universal-tipo-c-brasil-home/p/gkj66889f8/in/usba/"/>
    <hyperlink ref="I39" r:id="rId22" display="https://www.magazineluiza.com.br/carregador-por-inducao-15w-sem-fio-usb-acompanha-cabo-usb-c-le520-lelong/p/ke9dh49dk3/te/accp/"/>
    <hyperlink ref="I40" r:id="rId23" display="https://www.usinainfo.com.br/regulador-de-tensao/regulador-de-tensao-ajustavel-mt3608-step-up-saida-25v-a-28vdc-2a-4489.html"/>
    <hyperlink ref="I43" r:id="rId24" display="https://www.amazon.com.br/dp/B0GS5M3LC5"/>
    <hyperlink ref="I44" r:id="rId25" display="https://3dfila.com.br/produto/filamento-pla-preto/"/>
    <hyperlink ref="I45" r:id="rId26" display="https://www.extra.com.br/p/1569921696"/>
    <hyperlink ref="I46" r:id="rId27" display="https://www.google.com/search?tbm=shop&amp;q=Super+Bonder+Power+Flex+Gel+2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192</v>
      </c>
    </row>
    <row r="4" customFormat="false" ht="30" hidden="false" customHeight="true" outlineLevel="0" collapsed="false">
      <c r="A4" s="3" t="s">
        <v>193</v>
      </c>
      <c r="B4" s="3" t="s">
        <v>194</v>
      </c>
      <c r="C4" s="3" t="s">
        <v>45</v>
      </c>
      <c r="D4" s="3" t="s">
        <v>46</v>
      </c>
      <c r="E4" s="3" t="s">
        <v>47</v>
      </c>
      <c r="F4" s="3" t="s">
        <v>50</v>
      </c>
      <c r="G4" s="3" t="s">
        <v>51</v>
      </c>
      <c r="H4" s="3" t="s">
        <v>2</v>
      </c>
      <c r="I4" s="3" t="s">
        <v>53</v>
      </c>
    </row>
    <row r="5" customFormat="false" ht="15" hidden="false" customHeight="false" outlineLevel="0" collapsed="false">
      <c r="A5" s="9" t="s">
        <v>113</v>
      </c>
      <c r="B5" s="9" t="s">
        <v>195</v>
      </c>
      <c r="C5" s="18"/>
      <c r="D5" s="18"/>
      <c r="E5" s="18"/>
      <c r="F5" s="10" t="n">
        <f aca="false">SUMIFS(Itens!$K$5:$K$31,Itens!$D$5:$D$31,A5,Itens!$G$5:$G$31,"Sim")</f>
        <v>18.72</v>
      </c>
      <c r="G5" s="10" t="n">
        <f aca="false">SUMIFS(Itens!$L$5:$L$31,Itens!$D$5:$D$31,A5,Itens!$G$5:$G$31,"Sim")</f>
        <v>18.72</v>
      </c>
      <c r="H5" s="18"/>
      <c r="I5" s="18"/>
    </row>
    <row r="6" customFormat="false" ht="24.05" hidden="false" customHeight="false" outlineLevel="0" collapsed="false">
      <c r="B6" s="19" t="str">
        <f aca="false">Itens!B16</f>
        <v>Kit de parafusos inox M2 a M5 com porcas e arruelas, 120 peças</v>
      </c>
      <c r="C6" s="19" t="str">
        <f aca="false">Itens!F16</f>
        <v>Pedido</v>
      </c>
      <c r="D6" s="19" t="str">
        <f aca="false">Itens!G16</f>
        <v>Sim</v>
      </c>
      <c r="E6" s="19" t="n">
        <f aca="false">Itens!H16</f>
        <v>1</v>
      </c>
      <c r="F6" s="20" t="n">
        <f aca="false">Itens!K16</f>
        <v>18.72</v>
      </c>
      <c r="G6" s="20" t="n">
        <f aca="false">Itens!L16</f>
        <v>18.72</v>
      </c>
      <c r="H6" s="19" t="str">
        <f aca="false">Itens!M16</f>
        <v>Amazon</v>
      </c>
      <c r="I6" s="21" t="s">
        <v>114</v>
      </c>
    </row>
    <row r="7" customFormat="false" ht="24.05" hidden="false" customHeight="false" outlineLevel="0" collapsed="false">
      <c r="B7" s="19" t="str">
        <f aca="false">Itens!B27</f>
        <v>Fita dupla face de espuma 3M VHB transparente, 19 mm × 5 m</v>
      </c>
      <c r="C7" s="19" t="str">
        <f aca="false">Itens!F27</f>
        <v>Se não tiver</v>
      </c>
      <c r="D7" s="19" t="str">
        <f aca="false">Itens!G27</f>
        <v>Não</v>
      </c>
      <c r="E7" s="19" t="n">
        <f aca="false">Itens!H27</f>
        <v>1</v>
      </c>
      <c r="F7" s="20" t="n">
        <f aca="false">Itens!K27</f>
        <v>37.57</v>
      </c>
      <c r="G7" s="20" t="n">
        <f aca="false">Itens!L27</f>
        <v>37.57</v>
      </c>
      <c r="H7" s="19" t="str">
        <f aca="false">Itens!M27</f>
        <v>Extra</v>
      </c>
      <c r="I7" s="21" t="s">
        <v>170</v>
      </c>
    </row>
    <row r="8" customFormat="false" ht="15" hidden="false" customHeight="false" outlineLevel="0" collapsed="false">
      <c r="B8" s="19" t="str">
        <f aca="false">Itens!B28</f>
        <v>Cola instantânea em gel (Super Bonder Power Flex Gel 2 g)</v>
      </c>
      <c r="C8" s="19" t="str">
        <f aca="false">Itens!F28</f>
        <v>Se não tiver</v>
      </c>
      <c r="D8" s="19" t="str">
        <f aca="false">Itens!G28</f>
        <v>Não</v>
      </c>
      <c r="E8" s="19" t="n">
        <f aca="false">Itens!H28</f>
        <v>1</v>
      </c>
      <c r="F8" s="20" t="n">
        <f aca="false">Itens!K28</f>
        <v>8.69</v>
      </c>
      <c r="G8" s="20" t="n">
        <f aca="false">Itens!L28</f>
        <v>8.69</v>
      </c>
      <c r="H8" s="19" t="str">
        <f aca="false">Itens!M28</f>
        <v>Magazine Luiza</v>
      </c>
      <c r="I8" s="21" t="s">
        <v>175</v>
      </c>
    </row>
    <row r="10" customFormat="false" ht="15" hidden="false" customHeight="false" outlineLevel="0" collapsed="false">
      <c r="A10" s="9" t="s">
        <v>182</v>
      </c>
      <c r="B10" s="9" t="s">
        <v>195</v>
      </c>
      <c r="C10" s="18"/>
      <c r="D10" s="18"/>
      <c r="E10" s="18"/>
      <c r="F10" s="10" t="n">
        <f aca="false">SUMIFS(Itens!$K$5:$K$31,Itens!$D$5:$D$31,A10,Itens!$G$5:$G$31,"Sim")</f>
        <v>0</v>
      </c>
      <c r="G10" s="10" t="n">
        <f aca="false">SUMIFS(Itens!$L$5:$L$31,Itens!$D$5:$D$31,A10,Itens!$G$5:$G$31,"Sim")</f>
        <v>0</v>
      </c>
      <c r="H10" s="18"/>
      <c r="I10" s="18"/>
    </row>
    <row r="11" customFormat="false" ht="15" hidden="false" customHeight="false" outlineLevel="0" collapsed="false">
      <c r="B11" s="19" t="str">
        <f aca="false">Itens!B30</f>
        <v>Papel adesivo A4 fosco 108 g, 20 folhas</v>
      </c>
      <c r="C11" s="19" t="str">
        <f aca="false">Itens!F30</f>
        <v>Se não tiver</v>
      </c>
      <c r="D11" s="19" t="str">
        <f aca="false">Itens!G30</f>
        <v>Não</v>
      </c>
      <c r="E11" s="19" t="n">
        <f aca="false">Itens!H30</f>
        <v>1</v>
      </c>
      <c r="F11" s="20" t="n">
        <f aca="false">Itens!K30</f>
        <v>8.19</v>
      </c>
      <c r="G11" s="20" t="n">
        <f aca="false">Itens!L30</f>
        <v>8.19</v>
      </c>
      <c r="H11" s="19" t="str">
        <f aca="false">Itens!M30</f>
        <v>Magazine Luiza</v>
      </c>
      <c r="I11" s="21" t="s">
        <v>183</v>
      </c>
    </row>
    <row r="13" customFormat="false" ht="15" hidden="false" customHeight="false" outlineLevel="0" collapsed="false">
      <c r="A13" s="9" t="s">
        <v>100</v>
      </c>
      <c r="B13" s="9" t="s">
        <v>195</v>
      </c>
      <c r="C13" s="18"/>
      <c r="D13" s="18"/>
      <c r="E13" s="18"/>
      <c r="F13" s="10" t="n">
        <f aca="false">SUMIFS(Itens!$K$5:$K$31,Itens!$D$5:$D$31,A13,Itens!$G$5:$G$31,"Sim")</f>
        <v>64.84</v>
      </c>
      <c r="G13" s="10" t="n">
        <f aca="false">SUMIFS(Itens!$L$5:$L$31,Itens!$D$5:$D$31,A13,Itens!$G$5:$G$31,"Sim")</f>
        <v>64.84</v>
      </c>
      <c r="H13" s="18"/>
      <c r="I13" s="18"/>
    </row>
    <row r="14" customFormat="false" ht="15" hidden="false" customHeight="false" outlineLevel="0" collapsed="false">
      <c r="B14" s="19" t="str">
        <f aca="false">Itens!B14</f>
        <v>Etiqueta rígida antifurto com pino, pacote com 20</v>
      </c>
      <c r="C14" s="19" t="str">
        <f aca="false">Itens!F14</f>
        <v>Pedido</v>
      </c>
      <c r="D14" s="19" t="str">
        <f aca="false">Itens!G14</f>
        <v>Sim</v>
      </c>
      <c r="E14" s="19" t="n">
        <f aca="false">Itens!H14</f>
        <v>1</v>
      </c>
      <c r="F14" s="20" t="n">
        <f aca="false">Itens!K14</f>
        <v>64.84</v>
      </c>
      <c r="G14" s="20" t="n">
        <f aca="false">Itens!L14</f>
        <v>64.84</v>
      </c>
      <c r="H14" s="19" t="str">
        <f aca="false">Itens!M14</f>
        <v>Amazon</v>
      </c>
      <c r="I14" s="21" t="s">
        <v>102</v>
      </c>
    </row>
    <row r="15" customFormat="false" ht="15" hidden="false" customHeight="false" outlineLevel="0" collapsed="false">
      <c r="B15" s="19" t="str">
        <f aca="false">Itens!B24</f>
        <v>Fechadura elétrica solenoide FEC-91 12 V NF</v>
      </c>
      <c r="C15" s="19" t="str">
        <f aca="false">Itens!F24</f>
        <v>Alternativa</v>
      </c>
      <c r="D15" s="19" t="str">
        <f aca="false">Itens!G24</f>
        <v>Não</v>
      </c>
      <c r="E15" s="19" t="n">
        <f aca="false">Itens!H24</f>
        <v>1</v>
      </c>
      <c r="F15" s="20" t="n">
        <f aca="false">Itens!K24</f>
        <v>34.58</v>
      </c>
      <c r="G15" s="20" t="n">
        <f aca="false">Itens!L24</f>
        <v>36.4</v>
      </c>
      <c r="H15" s="19" t="str">
        <f aca="false">Itens!M24</f>
        <v>Usinainfo</v>
      </c>
      <c r="I15" s="21" t="s">
        <v>160</v>
      </c>
    </row>
    <row r="16" customFormat="false" ht="15" hidden="false" customHeight="false" outlineLevel="0" collapsed="false">
      <c r="B16" s="19" t="str">
        <f aca="false">Itens!B29</f>
        <v>Fita antiderrapante preta 25 mm × 5 m (Tesa)</v>
      </c>
      <c r="C16" s="19" t="str">
        <f aca="false">Itens!F29</f>
        <v>Se não tiver</v>
      </c>
      <c r="D16" s="19" t="str">
        <f aca="false">Itens!G29</f>
        <v>Não</v>
      </c>
      <c r="E16" s="19" t="n">
        <f aca="false">Itens!H29</f>
        <v>1</v>
      </c>
      <c r="F16" s="20" t="n">
        <f aca="false">Itens!K29</f>
        <v>25.9</v>
      </c>
      <c r="G16" s="20" t="n">
        <f aca="false">Itens!L29</f>
        <v>25.9</v>
      </c>
      <c r="H16" s="19" t="str">
        <f aca="false">Itens!M29</f>
        <v>Loja do Mecânico</v>
      </c>
      <c r="I16" s="21" t="s">
        <v>179</v>
      </c>
    </row>
    <row r="17" customFormat="false" ht="15" hidden="false" customHeight="false" outlineLevel="0" collapsed="false">
      <c r="B17" s="19" t="str">
        <f aca="false">Itens!B31</f>
        <v>Parafuso M3 × 40 mm (ou 50 mm) com porca, pacote</v>
      </c>
      <c r="C17" s="19" t="str">
        <f aca="false">Itens!F31</f>
        <v>Se não tiver</v>
      </c>
      <c r="D17" s="19" t="str">
        <f aca="false">Itens!G31</f>
        <v>Não</v>
      </c>
      <c r="E17" s="19" t="n">
        <f aca="false">Itens!H31</f>
        <v>1</v>
      </c>
      <c r="F17" s="20" t="str">
        <f aca="false">Itens!K31</f>
        <v/>
      </c>
      <c r="G17" s="20" t="str">
        <f aca="false">Itens!L31</f>
        <v/>
      </c>
      <c r="H17" s="19" t="str">
        <f aca="false">Itens!M31</f>
        <v>Mercado Livre</v>
      </c>
      <c r="I17" s="21" t="s">
        <v>186</v>
      </c>
    </row>
    <row r="19" customFormat="false" ht="15" hidden="false" customHeight="false" outlineLevel="0" collapsed="false">
      <c r="A19" s="9" t="s">
        <v>73</v>
      </c>
      <c r="B19" s="9" t="s">
        <v>195</v>
      </c>
      <c r="C19" s="18"/>
      <c r="D19" s="18"/>
      <c r="E19" s="18"/>
      <c r="F19" s="10" t="n">
        <f aca="false">SUMIFS(Itens!$K$5:$K$31,Itens!$D$5:$D$31,A19,Itens!$G$5:$G$31,"Sim")</f>
        <v>49.8</v>
      </c>
      <c r="G19" s="10" t="n">
        <f aca="false">SUMIFS(Itens!$L$5:$L$31,Itens!$D$5:$D$31,A19,Itens!$G$5:$G$31,"Sim")</f>
        <v>52.41</v>
      </c>
      <c r="H19" s="18"/>
      <c r="I19" s="18"/>
    </row>
    <row r="20" customFormat="false" ht="15" hidden="false" customHeight="false" outlineLevel="0" collapsed="false">
      <c r="B20" s="19" t="str">
        <f aca="false">Itens!B7</f>
        <v>Micro servo SG90 9 g, 180°</v>
      </c>
      <c r="C20" s="19" t="str">
        <f aca="false">Itens!F7</f>
        <v>Pedido</v>
      </c>
      <c r="D20" s="19" t="str">
        <f aca="false">Itens!G7</f>
        <v>Sim</v>
      </c>
      <c r="E20" s="19" t="n">
        <f aca="false">Itens!H7</f>
        <v>2</v>
      </c>
      <c r="F20" s="20" t="n">
        <f aca="false">Itens!K7</f>
        <v>28.32</v>
      </c>
      <c r="G20" s="20" t="n">
        <f aca="false">Itens!L7</f>
        <v>29.8</v>
      </c>
      <c r="H20" s="19" t="str">
        <f aca="false">Itens!M7</f>
        <v>Usinainfo</v>
      </c>
      <c r="I20" s="21" t="s">
        <v>74</v>
      </c>
    </row>
    <row r="21" customFormat="false" ht="15" hidden="false" customHeight="false" outlineLevel="0" collapsed="false">
      <c r="B21" s="19" t="str">
        <f aca="false">Itens!B10</f>
        <v>Ímã de neodímio N50 10 × 4 mm, kit com 10</v>
      </c>
      <c r="C21" s="19" t="str">
        <f aca="false">Itens!F10</f>
        <v>Pedido</v>
      </c>
      <c r="D21" s="19" t="str">
        <f aca="false">Itens!G10</f>
        <v>Sim</v>
      </c>
      <c r="E21" s="19" t="n">
        <f aca="false">Itens!H10</f>
        <v>1</v>
      </c>
      <c r="F21" s="20" t="n">
        <f aca="false">Itens!K10</f>
        <v>21.48</v>
      </c>
      <c r="G21" s="20" t="n">
        <f aca="false">Itens!L10</f>
        <v>22.61</v>
      </c>
      <c r="H21" s="19" t="str">
        <f aca="false">Itens!M10</f>
        <v>Usinainfo</v>
      </c>
      <c r="I21" s="21" t="s">
        <v>86</v>
      </c>
    </row>
    <row r="22" customFormat="false" ht="15" hidden="false" customHeight="false" outlineLevel="0" collapsed="false">
      <c r="B22" s="19" t="str">
        <f aca="false">Itens!B21</f>
        <v>Kit de molas de compressão e extensão, 200 peças</v>
      </c>
      <c r="C22" s="19" t="str">
        <f aca="false">Itens!F21</f>
        <v>Variante B</v>
      </c>
      <c r="D22" s="19" t="str">
        <f aca="false">Itens!G21</f>
        <v>Não</v>
      </c>
      <c r="E22" s="19" t="n">
        <f aca="false">Itens!H21</f>
        <v>1</v>
      </c>
      <c r="F22" s="20" t="n">
        <f aca="false">Itens!K21</f>
        <v>44.49</v>
      </c>
      <c r="G22" s="20" t="n">
        <f aca="false">Itens!L21</f>
        <v>46.83</v>
      </c>
      <c r="H22" s="19" t="str">
        <f aca="false">Itens!M21</f>
        <v>Usinainfo</v>
      </c>
      <c r="I22" s="21" t="s">
        <v>145</v>
      </c>
    </row>
    <row r="23" customFormat="false" ht="15" hidden="false" customHeight="false" outlineLevel="0" collapsed="false">
      <c r="B23" s="19" t="str">
        <f aca="false">Itens!B22</f>
        <v>Micro servo MG90S 9 g, engrenagens metálicas</v>
      </c>
      <c r="C23" s="19" t="str">
        <f aca="false">Itens!F22</f>
        <v>Reserva</v>
      </c>
      <c r="D23" s="19" t="str">
        <f aca="false">Itens!G22</f>
        <v>Não</v>
      </c>
      <c r="E23" s="19" t="n">
        <f aca="false">Itens!H22</f>
        <v>1</v>
      </c>
      <c r="F23" s="20" t="n">
        <f aca="false">Itens!K22</f>
        <v>34.87</v>
      </c>
      <c r="G23" s="20" t="n">
        <f aca="false">Itens!L22</f>
        <v>36.7</v>
      </c>
      <c r="H23" s="19" t="str">
        <f aca="false">Itens!M22</f>
        <v>Usinainfo</v>
      </c>
      <c r="I23" s="21" t="s">
        <v>150</v>
      </c>
    </row>
    <row r="24" customFormat="false" ht="15" hidden="false" customHeight="false" outlineLevel="0" collapsed="false">
      <c r="B24" s="19" t="str">
        <f aca="false">Itens!B23</f>
        <v>Ímã de neodímio N42 disco 20 × 10 mm</v>
      </c>
      <c r="C24" s="19" t="str">
        <f aca="false">Itens!F23</f>
        <v>Reserva</v>
      </c>
      <c r="D24" s="19" t="str">
        <f aca="false">Itens!G23</f>
        <v>Não</v>
      </c>
      <c r="E24" s="19" t="n">
        <f aca="false">Itens!H23</f>
        <v>1</v>
      </c>
      <c r="F24" s="20" t="n">
        <f aca="false">Itens!K23</f>
        <v>24.87</v>
      </c>
      <c r="G24" s="20" t="n">
        <f aca="false">Itens!L23</f>
        <v>24.87</v>
      </c>
      <c r="H24" s="19" t="str">
        <f aca="false">Itens!M23</f>
        <v>Ímã de Neodímio</v>
      </c>
      <c r="I24" s="21" t="s">
        <v>155</v>
      </c>
    </row>
    <row r="25" customFormat="false" ht="15" hidden="false" customHeight="false" outlineLevel="0" collapsed="false">
      <c r="B25" s="19" t="str">
        <f aca="false">Itens!B25</f>
        <v>Módulo relé 3,3 V 10 A, 1 canal, com optoacoplador</v>
      </c>
      <c r="C25" s="19" t="str">
        <f aca="false">Itens!F25</f>
        <v>Alternativa</v>
      </c>
      <c r="D25" s="19" t="str">
        <f aca="false">Itens!G25</f>
        <v>Não</v>
      </c>
      <c r="E25" s="19" t="n">
        <f aca="false">Itens!H25</f>
        <v>1</v>
      </c>
      <c r="F25" s="20" t="n">
        <f aca="false">Itens!K25</f>
        <v>13.59</v>
      </c>
      <c r="G25" s="20" t="n">
        <f aca="false">Itens!L25</f>
        <v>14.3</v>
      </c>
      <c r="H25" s="19" t="str">
        <f aca="false">Itens!M25</f>
        <v>Usinainfo</v>
      </c>
      <c r="I25" s="21" t="s">
        <v>163</v>
      </c>
    </row>
    <row r="27" customFormat="false" ht="15" hidden="false" customHeight="false" outlineLevel="0" collapsed="false">
      <c r="A27" s="9" t="s">
        <v>81</v>
      </c>
      <c r="B27" s="9" t="s">
        <v>195</v>
      </c>
      <c r="C27" s="18"/>
      <c r="D27" s="18"/>
      <c r="E27" s="18"/>
      <c r="F27" s="10" t="n">
        <f aca="false">SUMIFS(Itens!$K$5:$K$31,Itens!$D$5:$D$31,A27,Itens!$G$5:$G$31,"Sim")</f>
        <v>7.78</v>
      </c>
      <c r="G27" s="10" t="n">
        <f aca="false">SUMIFS(Itens!$L$5:$L$31,Itens!$D$5:$D$31,A27,Itens!$G$5:$G$31,"Sim")</f>
        <v>8.19</v>
      </c>
      <c r="H27" s="18"/>
      <c r="I27" s="18"/>
    </row>
    <row r="28" customFormat="false" ht="15" hidden="false" customHeight="false" outlineLevel="0" collapsed="false">
      <c r="B28" s="19" t="str">
        <f aca="false">Itens!B9</f>
        <v>Semáforo LED 3,3 V/5 V 8 mm (S3)</v>
      </c>
      <c r="C28" s="19" t="str">
        <f aca="false">Itens!F9</f>
        <v>Pedido</v>
      </c>
      <c r="D28" s="19" t="str">
        <f aca="false">Itens!G9</f>
        <v>Sim</v>
      </c>
      <c r="E28" s="19" t="n">
        <f aca="false">Itens!H9</f>
        <v>1</v>
      </c>
      <c r="F28" s="20" t="n">
        <f aca="false">Itens!K9</f>
        <v>7.78</v>
      </c>
      <c r="G28" s="20" t="n">
        <f aca="false">Itens!L9</f>
        <v>8.19</v>
      </c>
      <c r="H28" s="19" t="str">
        <f aca="false">Itens!M9</f>
        <v>Usinainfo</v>
      </c>
      <c r="I28" s="21" t="s">
        <v>82</v>
      </c>
    </row>
    <row r="30" customFormat="false" ht="15" hidden="false" customHeight="false" outlineLevel="0" collapsed="false">
      <c r="A30" s="9" t="s">
        <v>59</v>
      </c>
      <c r="B30" s="9" t="s">
        <v>195</v>
      </c>
      <c r="C30" s="18"/>
      <c r="D30" s="18"/>
      <c r="E30" s="18"/>
      <c r="F30" s="10" t="n">
        <f aca="false">SUMIFS(Itens!$K$5:$K$31,Itens!$D$5:$D$31,A30,Itens!$G$5:$G$31,"Sim")</f>
        <v>264.03</v>
      </c>
      <c r="G30" s="10" t="n">
        <f aca="false">SUMIFS(Itens!$L$5:$L$31,Itens!$D$5:$D$31,A30,Itens!$G$5:$G$31,"Sim")</f>
        <v>280.39</v>
      </c>
      <c r="H30" s="18"/>
      <c r="I30" s="18"/>
    </row>
    <row r="31" customFormat="false" ht="15" hidden="false" customHeight="false" outlineLevel="0" collapsed="false">
      <c r="B31" s="19" t="str">
        <f aca="false">Itens!B5</f>
        <v>Placa ESP32 DevKit V1 30 pinos, USB-C, CP2102</v>
      </c>
      <c r="C31" s="19" t="str">
        <f aca="false">Itens!F5</f>
        <v>Pedido</v>
      </c>
      <c r="D31" s="19" t="str">
        <f aca="false">Itens!G5</f>
        <v>Sim</v>
      </c>
      <c r="E31" s="19" t="n">
        <f aca="false">Itens!H5</f>
        <v>1</v>
      </c>
      <c r="F31" s="20" t="n">
        <f aca="false">Itens!K5</f>
        <v>56.81</v>
      </c>
      <c r="G31" s="20" t="n">
        <f aca="false">Itens!L5</f>
        <v>59.8</v>
      </c>
      <c r="H31" s="19" t="str">
        <f aca="false">Itens!M5</f>
        <v>Usinainfo</v>
      </c>
      <c r="I31" s="21" t="s">
        <v>63</v>
      </c>
    </row>
    <row r="32" customFormat="false" ht="24.05" hidden="false" customHeight="false" outlineLevel="0" collapsed="false">
      <c r="B32" s="19" t="str">
        <f aca="false">Itens!B6</f>
        <v>Expansor para ESP32 DevKit V1 30 pinos (USB-C e micro USB)</v>
      </c>
      <c r="C32" s="19" t="str">
        <f aca="false">Itens!F6</f>
        <v>Pedido</v>
      </c>
      <c r="D32" s="19" t="str">
        <f aca="false">Itens!G6</f>
        <v>Sim</v>
      </c>
      <c r="E32" s="19" t="n">
        <f aca="false">Itens!H6</f>
        <v>1</v>
      </c>
      <c r="F32" s="20" t="n">
        <f aca="false">Itens!K6</f>
        <v>21.19</v>
      </c>
      <c r="G32" s="20" t="n">
        <f aca="false">Itens!L6</f>
        <v>22.3</v>
      </c>
      <c r="H32" s="19" t="str">
        <f aca="false">Itens!M6</f>
        <v>Usinainfo</v>
      </c>
      <c r="I32" s="21" t="s">
        <v>68</v>
      </c>
    </row>
    <row r="33" customFormat="false" ht="15" hidden="false" customHeight="false" outlineLevel="0" collapsed="false">
      <c r="B33" s="19" t="str">
        <f aca="false">Itens!B8</f>
        <v>Módulo chave fim de curso</v>
      </c>
      <c r="C33" s="19" t="str">
        <f aca="false">Itens!F8</f>
        <v>Pedido</v>
      </c>
      <c r="D33" s="19" t="str">
        <f aca="false">Itens!G8</f>
        <v>Sim</v>
      </c>
      <c r="E33" s="19" t="n">
        <f aca="false">Itens!H8</f>
        <v>2</v>
      </c>
      <c r="F33" s="20" t="n">
        <f aca="false">Itens!K8</f>
        <v>9.58</v>
      </c>
      <c r="G33" s="20" t="n">
        <f aca="false">Itens!L8</f>
        <v>10.08</v>
      </c>
      <c r="H33" s="19" t="str">
        <f aca="false">Itens!M8</f>
        <v>Usinainfo</v>
      </c>
      <c r="I33" s="21" t="s">
        <v>77</v>
      </c>
    </row>
    <row r="34" customFormat="false" ht="15" hidden="false" customHeight="false" outlineLevel="0" collapsed="false">
      <c r="B34" s="19" t="str">
        <f aca="false">Itens!B11</f>
        <v>Jumper fêmea-fêmea 20 cm, kit com 20</v>
      </c>
      <c r="C34" s="19" t="str">
        <f aca="false">Itens!F11</f>
        <v>Pedido</v>
      </c>
      <c r="D34" s="19" t="str">
        <f aca="false">Itens!G11</f>
        <v>Sim</v>
      </c>
      <c r="E34" s="19" t="n">
        <f aca="false">Itens!H11</f>
        <v>1</v>
      </c>
      <c r="F34" s="20" t="n">
        <f aca="false">Itens!K11</f>
        <v>5.79</v>
      </c>
      <c r="G34" s="20" t="n">
        <f aca="false">Itens!L11</f>
        <v>6.09</v>
      </c>
      <c r="H34" s="19" t="str">
        <f aca="false">Itens!M11</f>
        <v>Usinainfo</v>
      </c>
      <c r="I34" s="21" t="s">
        <v>89</v>
      </c>
    </row>
    <row r="35" customFormat="false" ht="15" hidden="false" customHeight="false" outlineLevel="0" collapsed="false">
      <c r="B35" s="19" t="str">
        <f aca="false">Itens!B12</f>
        <v>Jumper macho-fêmea 20 cm, kit com 20</v>
      </c>
      <c r="C35" s="19" t="str">
        <f aca="false">Itens!F12</f>
        <v>Pedido</v>
      </c>
      <c r="D35" s="19" t="str">
        <f aca="false">Itens!G12</f>
        <v>Sim</v>
      </c>
      <c r="E35" s="19" t="n">
        <f aca="false">Itens!H12</f>
        <v>1</v>
      </c>
      <c r="F35" s="20" t="n">
        <f aca="false">Itens!K12</f>
        <v>5.79</v>
      </c>
      <c r="G35" s="20" t="n">
        <f aca="false">Itens!L12</f>
        <v>6.09</v>
      </c>
      <c r="H35" s="19" t="str">
        <f aca="false">Itens!M12</f>
        <v>Usinainfo</v>
      </c>
      <c r="I35" s="21" t="s">
        <v>92</v>
      </c>
    </row>
    <row r="36" customFormat="false" ht="15" hidden="false" customHeight="false" outlineLevel="0" collapsed="false">
      <c r="B36" s="19" t="str">
        <f aca="false">Itens!B13</f>
        <v>Capacitor eletrolítico 1000 µF 16 V</v>
      </c>
      <c r="C36" s="19" t="str">
        <f aca="false">Itens!F13</f>
        <v>Pedido</v>
      </c>
      <c r="D36" s="19" t="str">
        <f aca="false">Itens!G13</f>
        <v>Sim</v>
      </c>
      <c r="E36" s="19" t="n">
        <f aca="false">Itens!H13</f>
        <v>1</v>
      </c>
      <c r="F36" s="20" t="n">
        <f aca="false">Itens!K13</f>
        <v>1.94</v>
      </c>
      <c r="G36" s="20" t="n">
        <f aca="false">Itens!L13</f>
        <v>2.04</v>
      </c>
      <c r="H36" s="19" t="str">
        <f aca="false">Itens!M13</f>
        <v>Usinainfo</v>
      </c>
      <c r="I36" s="21" t="s">
        <v>96</v>
      </c>
    </row>
    <row r="37" customFormat="false" ht="24.05" hidden="false" customHeight="false" outlineLevel="0" collapsed="false">
      <c r="B37" s="19" t="str">
        <f aca="false">Itens!B15</f>
        <v>Power bank Basike 10.000 mAh 22,5 W, com visor e cabos embutidos</v>
      </c>
      <c r="C37" s="19" t="str">
        <f aca="false">Itens!F15</f>
        <v>Pedido</v>
      </c>
      <c r="D37" s="19" t="str">
        <f aca="false">Itens!G15</f>
        <v>Sim</v>
      </c>
      <c r="E37" s="19" t="n">
        <f aca="false">Itens!H15</f>
        <v>1</v>
      </c>
      <c r="F37" s="20" t="n">
        <f aca="false">Itens!K15</f>
        <v>95</v>
      </c>
      <c r="G37" s="20" t="n">
        <f aca="false">Itens!L15</f>
        <v>95</v>
      </c>
      <c r="H37" s="19" t="str">
        <f aca="false">Itens!M15</f>
        <v>Amazon</v>
      </c>
      <c r="I37" s="21" t="s">
        <v>108</v>
      </c>
    </row>
    <row r="38" customFormat="false" ht="15" hidden="false" customHeight="false" outlineLevel="0" collapsed="false">
      <c r="B38" s="19" t="str">
        <f aca="false">Itens!B17</f>
        <v>Receptor de carga sem fio Qi universal, USB-C</v>
      </c>
      <c r="C38" s="19" t="str">
        <f aca="false">Itens!F17</f>
        <v>Pedido</v>
      </c>
      <c r="D38" s="19" t="str">
        <f aca="false">Itens!G17</f>
        <v>Sim</v>
      </c>
      <c r="E38" s="19" t="n">
        <f aca="false">Itens!H17</f>
        <v>1</v>
      </c>
      <c r="F38" s="20" t="n">
        <f aca="false">Itens!K17</f>
        <v>67.93</v>
      </c>
      <c r="G38" s="20" t="n">
        <f aca="false">Itens!L17</f>
        <v>78.99</v>
      </c>
      <c r="H38" s="19" t="str">
        <f aca="false">Itens!M17</f>
        <v>Magazine Luiza</v>
      </c>
      <c r="I38" s="21" t="s">
        <v>119</v>
      </c>
    </row>
    <row r="39" customFormat="false" ht="15" hidden="false" customHeight="false" outlineLevel="0" collapsed="false">
      <c r="B39" s="19" t="str">
        <f aca="false">Itens!B26</f>
        <v>Regulador step-up MT3608 (2,5 V a 28 V, 2 A)</v>
      </c>
      <c r="C39" s="19" t="str">
        <f aca="false">Itens!F26</f>
        <v>Alternativa</v>
      </c>
      <c r="D39" s="19" t="str">
        <f aca="false">Itens!G26</f>
        <v>Não</v>
      </c>
      <c r="E39" s="19" t="n">
        <f aca="false">Itens!H26</f>
        <v>1</v>
      </c>
      <c r="F39" s="20" t="n">
        <f aca="false">Itens!K26</f>
        <v>7.55</v>
      </c>
      <c r="G39" s="20" t="n">
        <f aca="false">Itens!L26</f>
        <v>7.95</v>
      </c>
      <c r="H39" s="19" t="str">
        <f aca="false">Itens!M26</f>
        <v>Usinainfo</v>
      </c>
      <c r="I39" s="21" t="s">
        <v>166</v>
      </c>
    </row>
    <row r="41" customFormat="false" ht="15" hidden="false" customHeight="false" outlineLevel="0" collapsed="false">
      <c r="A41" s="9" t="s">
        <v>123</v>
      </c>
      <c r="B41" s="9" t="s">
        <v>195</v>
      </c>
      <c r="C41" s="18"/>
      <c r="D41" s="18"/>
      <c r="E41" s="18"/>
      <c r="F41" s="10" t="n">
        <f aca="false">SUMIFS(Itens!$K$5:$K$31,Itens!$D$5:$D$31,A41,Itens!$G$5:$G$31,"Sim")</f>
        <v>30.74</v>
      </c>
      <c r="G41" s="10" t="n">
        <f aca="false">SUMIFS(Itens!$L$5:$L$31,Itens!$D$5:$D$31,A41,Itens!$G$5:$G$31,"Sim")</f>
        <v>30.74</v>
      </c>
      <c r="H41" s="18"/>
      <c r="I41" s="18"/>
    </row>
    <row r="42" customFormat="false" ht="24.05" hidden="false" customHeight="false" outlineLevel="0" collapsed="false">
      <c r="B42" s="19" t="str">
        <f aca="false">Itens!B18</f>
        <v>Carregador por indução 15 W Lelong LE-520, com cabo USB-C</v>
      </c>
      <c r="C42" s="19" t="str">
        <f aca="false">Itens!F18</f>
        <v>Pedido</v>
      </c>
      <c r="D42" s="19" t="str">
        <f aca="false">Itens!G18</f>
        <v>Sim</v>
      </c>
      <c r="E42" s="19" t="n">
        <f aca="false">Itens!H18</f>
        <v>1</v>
      </c>
      <c r="F42" s="20" t="n">
        <f aca="false">Itens!K18</f>
        <v>30.74</v>
      </c>
      <c r="G42" s="20" t="n">
        <f aca="false">Itens!L18</f>
        <v>30.74</v>
      </c>
      <c r="H42" s="19" t="str">
        <f aca="false">Itens!M18</f>
        <v>Magazine Luiza</v>
      </c>
      <c r="I42" s="21" t="s">
        <v>125</v>
      </c>
    </row>
    <row r="44" customFormat="false" ht="15" hidden="false" customHeight="false" outlineLevel="0" collapsed="false">
      <c r="A44" s="9" t="s">
        <v>129</v>
      </c>
      <c r="B44" s="9" t="s">
        <v>195</v>
      </c>
      <c r="C44" s="18"/>
      <c r="D44" s="18"/>
      <c r="E44" s="18"/>
      <c r="F44" s="10" t="n">
        <f aca="false">SUMIFS(Itens!$K$5:$K$31,Itens!$D$5:$D$31,A44,Itens!$G$5:$G$31,"Sim")</f>
        <v>89.9</v>
      </c>
      <c r="G44" s="10" t="n">
        <f aca="false">SUMIFS(Itens!$L$5:$L$31,Itens!$D$5:$D$31,A44,Itens!$G$5:$G$31,"Sim")</f>
        <v>97.09</v>
      </c>
      <c r="H44" s="18"/>
      <c r="I44" s="18"/>
    </row>
    <row r="45" customFormat="false" ht="15" hidden="false" customHeight="false" outlineLevel="0" collapsed="false">
      <c r="B45" s="19" t="str">
        <f aca="false">Itens!B19</f>
        <v>Filamento PLA preto 1,75 mm, 1 kg</v>
      </c>
      <c r="C45" s="19" t="str">
        <f aca="false">Itens!F19</f>
        <v>Pedido</v>
      </c>
      <c r="D45" s="19" t="str">
        <f aca="false">Itens!G19</f>
        <v>Sim</v>
      </c>
      <c r="E45" s="19" t="n">
        <f aca="false">Itens!H19</f>
        <v>1</v>
      </c>
      <c r="F45" s="20" t="n">
        <f aca="false">Itens!K19</f>
        <v>89.9</v>
      </c>
      <c r="G45" s="20" t="n">
        <f aca="false">Itens!L19</f>
        <v>97.09</v>
      </c>
      <c r="H45" s="19" t="str">
        <f aca="false">Itens!M19</f>
        <v>3D Fila</v>
      </c>
      <c r="I45" s="21" t="s">
        <v>130</v>
      </c>
    </row>
    <row r="47" customFormat="false" ht="15" hidden="false" customHeight="false" outlineLevel="0" collapsed="false">
      <c r="A47" s="9" t="s">
        <v>136</v>
      </c>
      <c r="B47" s="9" t="s">
        <v>195</v>
      </c>
      <c r="C47" s="18"/>
      <c r="D47" s="18"/>
      <c r="E47" s="18"/>
      <c r="F47" s="10" t="n">
        <f aca="false">SUMIFS(Itens!$K$5:$K$31,Itens!$D$5:$D$31,A47,Itens!$G$5:$G$31,"Sim")</f>
        <v>0</v>
      </c>
      <c r="G47" s="10" t="n">
        <f aca="false">SUMIFS(Itens!$L$5:$L$31,Itens!$D$5:$D$31,A47,Itens!$G$5:$G$31,"Sim")</f>
        <v>0</v>
      </c>
      <c r="H47" s="18"/>
      <c r="I47" s="18"/>
    </row>
    <row r="48" customFormat="false" ht="15" hidden="false" customHeight="false" outlineLevel="0" collapsed="false">
      <c r="B48" s="19" t="str">
        <f aca="false">Itens!B20</f>
        <v>Etiqueta NFC NTAG215 regravável, kit com 10</v>
      </c>
      <c r="C48" s="19" t="str">
        <f aca="false">Itens!F20</f>
        <v>Opcional</v>
      </c>
      <c r="D48" s="19" t="str">
        <f aca="false">Itens!G20</f>
        <v>Não</v>
      </c>
      <c r="E48" s="19" t="n">
        <f aca="false">Itens!H20</f>
        <v>1</v>
      </c>
      <c r="F48" s="20" t="n">
        <f aca="false">Itens!K20</f>
        <v>23.9</v>
      </c>
      <c r="G48" s="20" t="n">
        <f aca="false">Itens!L20</f>
        <v>23.9</v>
      </c>
      <c r="H48" s="19" t="str">
        <f aca="false">Itens!M20</f>
        <v>Amazon</v>
      </c>
      <c r="I48" s="21" t="s">
        <v>140</v>
      </c>
    </row>
    <row r="50" customFormat="false" ht="15" hidden="false" customHeight="false" outlineLevel="0" collapsed="false">
      <c r="B50" s="8" t="s">
        <v>189</v>
      </c>
      <c r="F50" s="10" t="n">
        <f aca="false">SUMIFS(Itens!$K$5:$K$31,Itens!$G$5:$G$31,"Sim")</f>
        <v>525.81</v>
      </c>
      <c r="G50" s="10" t="n">
        <f aca="false">SUMIFS(Itens!$L$5:$L$31,Itens!$G$5:$G$31,"Sim")</f>
        <v>552.38</v>
      </c>
    </row>
  </sheetData>
  <hyperlinks>
    <hyperlink ref="I6" r:id="rId1" display="https://www.amazon.com.br/dp/B0GS5M3LC5"/>
    <hyperlink ref="I7" r:id="rId2" display="https://www.extra.com.br/p/1569921696"/>
    <hyperlink ref="I8" r:id="rId3" display="https://www.google.com/search?tbm=shop&amp;q=Super+Bonder+Power+Flex+Gel+2g"/>
    <hyperlink ref="I11" r:id="rId4" display="https://www.google.com/search?tbm=shop&amp;q=papel+adesivo+A4+fosco+Masterprint"/>
    <hyperlink ref="I14" r:id="rId5" display="https://www.amazon.com.br/dp/B0GP6ZF16R"/>
    <hyperlink ref="I15" r:id="rId6" display="https://www.usinainfo.com.br/mini-fechadura-eletrica-solenoide/fechadura-eletrica-solenoide-12v-nf-compacta-fec-91-lingueta-superior-8073.html"/>
    <hyperlink ref="I16" r:id="rId7" display="https://www.google.com/search?tbm=shop&amp;q=fita+antiderrapante+tesa+25mm+5m"/>
    <hyperlink ref="I17" r:id="rId8" display="https://lista.mercadolivre.com.br/parafuso-m3-x-40mm"/>
    <hyperlink ref="I20" r:id="rId9" display="https://www.usinainfo.com.br/servo-motores/micro-servo-motor-9g-sg90-180-16kgfcm-de-posicao-2299.html"/>
    <hyperlink ref="I21" r:id="rId10" display="https://www.usinainfo.com.br/imas-de-neodimio-e-acessorios-magneticos/ima-de-neodimio-n50-super-forte-10mm-x-4mm-kit-com-10-unidades-5012.html"/>
    <hyperlink ref="I22" r:id="rId11" display="https://www.usinainfo.com.br/robotica-educacional/kit-de-molas-para-robotica-200-pecas-mola-de-compressao-e-extensao-para-projetos-diy-5160.html"/>
    <hyperlink ref="I23" r:id="rId12" display="https://www.usinainfo.com.br/servo-motores/micro-servo-9g-tower-pro-mg90s-180-22kgfcm-de-posicao-com-engrenagens-metalicas-3628.html"/>
    <hyperlink ref="I24" r:id="rId13" display="https://www.imadeneodimio.com/ima-de-neodimio-disco-20mm-x-10mm-n42"/>
    <hyperlink ref="I25" r:id="rId14" display="https://www.usinainfo.com.br/rele-arduino/modulo-rele-3v-10a-1-canal-com-optoacoplador-para-esp32-5997.html"/>
    <hyperlink ref="I28" r:id="rId15" display="https://www.usinainfo.com.br/outros-modulos-arduino/semaforo-led-33v5v-8mm-s3-5466.html"/>
    <hyperlink ref="I31" r:id="rId16" display="https://www.usinainfo.com.br/esp32/esp32-wifi-e-bluetooth-com-usb-c-30-pinos-e-cp2102-9114.html"/>
    <hyperlink ref="I32" r:id="rId17" display="https://www.usinainfo.com.br/expansores-shields/expansor-para-esp32-devkit-v1-30-pinos-usb-c-e-micro-8795.html"/>
    <hyperlink ref="I33" r:id="rId18" display="https://www.usinainfo.com.br/sensor-de-vibracao/modulo-chave-fim-curso-sensor-de-impacto-para-projetos-4618.html"/>
    <hyperlink ref="I34" r:id="rId19" display="https://www.usinainfo.com.br/jumper/jumper-premium-para-protoboard-femea-femea-20cm-kit-c-20-pecas-2612.html"/>
    <hyperlink ref="I35" r:id="rId20" display="https://www.usinainfo.com.br/jumper/jumper-premium-para-protoboard-macho-femea-20cm-kit-c-20-pecas-2314.html"/>
    <hyperlink ref="I36" r:id="rId21" display="https://www.usinainfo.com.br/capacitor-eletrolitico/capacitor-eletrolitico-1000uf-16v-3052.html"/>
    <hyperlink ref="I37" r:id="rId22" display="https://www.amazon.com.br/dp/B0DHVLRFGD"/>
    <hyperlink ref="I38" r:id="rId23" display="https://www.magazineluiza.com.br/adaptador-sem-fio-wireless-qi-inducao-receptor-universal-tipo-c-brasil-home/p/gkj66889f8/in/usba/"/>
    <hyperlink ref="I39" r:id="rId24" display="https://www.usinainfo.com.br/regulador-de-tensao/regulador-de-tensao-ajustavel-mt3608-step-up-saida-25v-a-28vdc-2a-4489.html"/>
    <hyperlink ref="I42" r:id="rId25" display="https://www.magazineluiza.com.br/carregador-por-inducao-15w-sem-fio-usb-acompanha-cabo-usb-c-le520-lelong/p/ke9dh49dk3/te/accp/"/>
    <hyperlink ref="I45" r:id="rId26" display="https://3dfila.com.br/produto/filamento-pla-preto/"/>
    <hyperlink ref="I48" r:id="rId27" display="https://www.amazon.com.br/dp/B0CKTK9HSJ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197</v>
      </c>
    </row>
    <row r="3" customFormat="false" ht="30" hidden="false" customHeight="true" outlineLevel="0" collapsed="false">
      <c r="A3" s="3" t="s">
        <v>198</v>
      </c>
      <c r="B3" s="3" t="s">
        <v>2</v>
      </c>
      <c r="C3" s="3" t="s">
        <v>199</v>
      </c>
      <c r="D3" s="3" t="s">
        <v>53</v>
      </c>
      <c r="E3" s="3" t="s">
        <v>200</v>
      </c>
    </row>
    <row r="4" customFormat="false" ht="15" hidden="false" customHeight="false" outlineLevel="0" collapsed="false">
      <c r="A4" s="4" t="s">
        <v>201</v>
      </c>
      <c r="B4" s="4" t="s">
        <v>202</v>
      </c>
      <c r="C4" s="5" t="n">
        <v>34.9</v>
      </c>
      <c r="D4" s="15" t="s">
        <v>203</v>
      </c>
      <c r="E4" s="4" t="s">
        <v>204</v>
      </c>
    </row>
    <row r="5" customFormat="false" ht="24.05" hidden="false" customHeight="false" outlineLevel="0" collapsed="false">
      <c r="A5" s="4" t="s">
        <v>205</v>
      </c>
      <c r="B5" s="4" t="s">
        <v>206</v>
      </c>
      <c r="C5" s="5" t="n">
        <v>212.79</v>
      </c>
      <c r="D5" s="15" t="s">
        <v>207</v>
      </c>
      <c r="E5" s="4" t="s">
        <v>208</v>
      </c>
    </row>
    <row r="6" customFormat="false" ht="15" hidden="false" customHeight="false" outlineLevel="0" collapsed="false">
      <c r="A6" s="4" t="s">
        <v>209</v>
      </c>
      <c r="B6" s="4" t="s">
        <v>210</v>
      </c>
      <c r="C6" s="5" t="n">
        <v>24.9</v>
      </c>
      <c r="D6" s="15" t="s">
        <v>211</v>
      </c>
      <c r="E6" s="4" t="s">
        <v>212</v>
      </c>
    </row>
    <row r="7" customFormat="false" ht="24.05" hidden="false" customHeight="false" outlineLevel="0" collapsed="false">
      <c r="A7" s="4" t="s">
        <v>213</v>
      </c>
      <c r="B7" s="4" t="s">
        <v>214</v>
      </c>
      <c r="C7" s="5" t="n">
        <v>8.46</v>
      </c>
      <c r="D7" s="15" t="s">
        <v>215</v>
      </c>
      <c r="E7" s="4" t="s">
        <v>216</v>
      </c>
    </row>
    <row r="8" customFormat="false" ht="15" hidden="false" customHeight="false" outlineLevel="0" collapsed="false">
      <c r="A8" s="4" t="s">
        <v>217</v>
      </c>
      <c r="B8" s="4" t="s">
        <v>214</v>
      </c>
      <c r="C8" s="5" t="n">
        <v>46.46</v>
      </c>
      <c r="D8" s="15" t="s">
        <v>218</v>
      </c>
      <c r="E8" s="4" t="s">
        <v>219</v>
      </c>
    </row>
    <row r="9" customFormat="false" ht="15" hidden="false" customHeight="false" outlineLevel="0" collapsed="false">
      <c r="A9" s="4" t="s">
        <v>220</v>
      </c>
      <c r="B9" s="4" t="s">
        <v>12</v>
      </c>
      <c r="C9" s="5" t="n">
        <v>46.17</v>
      </c>
      <c r="D9" s="15" t="s">
        <v>221</v>
      </c>
      <c r="E9" s="4" t="s">
        <v>222</v>
      </c>
    </row>
    <row r="10" customFormat="false" ht="15" hidden="false" customHeight="false" outlineLevel="0" collapsed="false">
      <c r="A10" s="4" t="s">
        <v>223</v>
      </c>
      <c r="B10" s="4" t="s">
        <v>224</v>
      </c>
      <c r="C10" s="5" t="n">
        <v>36.76</v>
      </c>
      <c r="D10" s="15" t="s">
        <v>225</v>
      </c>
      <c r="E10" s="4" t="s">
        <v>226</v>
      </c>
    </row>
    <row r="11" customFormat="false" ht="15" hidden="false" customHeight="false" outlineLevel="0" collapsed="false">
      <c r="A11" s="4" t="s">
        <v>227</v>
      </c>
      <c r="B11" s="4" t="s">
        <v>16</v>
      </c>
      <c r="C11" s="5"/>
      <c r="D11" s="15" t="s">
        <v>228</v>
      </c>
      <c r="E11" s="4" t="s">
        <v>229</v>
      </c>
    </row>
    <row r="12" customFormat="false" ht="15" hidden="false" customHeight="false" outlineLevel="0" collapsed="false">
      <c r="A12" s="4" t="s">
        <v>230</v>
      </c>
      <c r="B12" s="4" t="s">
        <v>231</v>
      </c>
      <c r="C12" s="5"/>
      <c r="D12" s="15" t="s">
        <v>232</v>
      </c>
      <c r="E12" s="4" t="s">
        <v>233</v>
      </c>
    </row>
    <row r="13" customFormat="false" ht="15" hidden="false" customHeight="false" outlineLevel="0" collapsed="false">
      <c r="A13" s="4" t="s">
        <v>234</v>
      </c>
      <c r="B13" s="4" t="s">
        <v>235</v>
      </c>
      <c r="C13" s="5" t="n">
        <v>26.99</v>
      </c>
      <c r="D13" s="15" t="s">
        <v>236</v>
      </c>
      <c r="E13" s="4" t="s">
        <v>237</v>
      </c>
    </row>
  </sheetData>
  <hyperlinks>
    <hyperlink ref="D4" r:id="rId1" display="https://www.smartkits.com.br/display-tft-ips-lcd-240x240-1-3-spi-st7789-colorido-rgb"/>
    <hyperlink ref="D5" r:id="rId2" display="https://www.kabum.com.br/produto/819532"/>
    <hyperlink ref="D6" r:id="rId3" display="https://www.kabum.com.br/produto/177521"/>
    <hyperlink ref="D7" r:id="rId4" display="https://www.eletrogate.com/jumpers-femea-femea-40-unidades-de-20-cm"/>
    <hyperlink ref="D8" r:id="rId5" display="https://www.eletrogate.com/mini-trava-eletrica-solenoide"/>
    <hyperlink ref="D9" r:id="rId6" display="https://www.usinainfo.com.br/mini-fechadura-eletrica-solenoide/mini-solenoide-12v-nf-tipo-tranca-jf-0520b-5246.html"/>
    <hyperlink ref="D10" r:id="rId7" display="https://www.fermarc.com/mini-solenoide-5v-jf-0530b"/>
    <hyperlink ref="D11" r:id="rId8" display="https://www.amazon.com.br/dp/B07GZH682Y"/>
    <hyperlink ref="D12" r:id="rId9" display="https://www.eletrogate.com/eletroima-solenoide-12v-dc-25kg"/>
    <hyperlink ref="D13" r:id="rId10" display="https://paraisodoseletronicos.com.br/produto/carregador-portatil-wireless-rapido-por-inducao-15w-alta-velocidade-le520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238</v>
      </c>
    </row>
    <row r="3" customFormat="false" ht="15" hidden="false" customHeight="false" outlineLevel="0" collapsed="false">
      <c r="A3" s="8" t="s">
        <v>239</v>
      </c>
      <c r="B3" s="22" t="s">
        <v>240</v>
      </c>
    </row>
    <row r="4" customFormat="false" ht="15" hidden="false" customHeight="false" outlineLevel="0" collapsed="false">
      <c r="A4" s="8" t="s">
        <v>241</v>
      </c>
      <c r="B4" s="22" t="s">
        <v>242</v>
      </c>
    </row>
    <row r="5" customFormat="false" ht="15" hidden="false" customHeight="false" outlineLevel="0" collapsed="false">
      <c r="A5" s="8" t="s">
        <v>243</v>
      </c>
      <c r="B5" s="22" t="s">
        <v>244</v>
      </c>
    </row>
    <row r="6" customFormat="false" ht="24.05" hidden="false" customHeight="false" outlineLevel="0" collapsed="false">
      <c r="A6" s="8" t="s">
        <v>245</v>
      </c>
      <c r="B6" s="22" t="s">
        <v>246</v>
      </c>
    </row>
    <row r="7" customFormat="false" ht="15" hidden="false" customHeight="false" outlineLevel="0" collapsed="false">
      <c r="A7" s="8" t="s">
        <v>247</v>
      </c>
      <c r="B7" s="22" t="s">
        <v>248</v>
      </c>
    </row>
    <row r="8" customFormat="false" ht="24.05" hidden="false" customHeight="false" outlineLevel="0" collapsed="false">
      <c r="A8" s="8" t="s">
        <v>249</v>
      </c>
      <c r="B8" s="22" t="s">
        <v>250</v>
      </c>
    </row>
    <row r="9" customFormat="false" ht="24.05" hidden="false" customHeight="false" outlineLevel="0" collapsed="false">
      <c r="A9" s="8" t="s">
        <v>251</v>
      </c>
      <c r="B9" s="22" t="s">
        <v>252</v>
      </c>
    </row>
    <row r="10" customFormat="false" ht="15" hidden="false" customHeight="false" outlineLevel="0" collapsed="false">
      <c r="A10" s="8" t="s">
        <v>253</v>
      </c>
      <c r="B10" s="22" t="s">
        <v>254</v>
      </c>
    </row>
    <row r="11" customFormat="false" ht="24.05" hidden="false" customHeight="false" outlineLevel="0" collapsed="false">
      <c r="A11" s="8" t="s">
        <v>255</v>
      </c>
      <c r="B11" s="22" t="s">
        <v>256</v>
      </c>
    </row>
    <row r="12" customFormat="false" ht="15" hidden="false" customHeight="false" outlineLevel="0" collapsed="false">
      <c r="A12" s="8" t="s">
        <v>257</v>
      </c>
      <c r="B12" s="22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2026-10-14T12:39:03Z</dcterms:created>
  <dc:creator>openpyxl</dc:creator>
  <dc:description/>
  <dc:language>pt-BR</dc:language>
  <cp:lastModifiedBy/>
  <dcterms:modified xsi:type="dcterms:W3CDTF">2026-10-14T12:39:03Z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